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회사관련\rice_analysis\data\"/>
    </mc:Choice>
  </mc:AlternateContent>
  <xr:revisionPtr revIDLastSave="0" documentId="13_ncr:1_{9AB3D152-2CA0-4078-8877-90DC6FB36279}" xr6:coauthVersionLast="47" xr6:coauthVersionMax="47" xr10:uidLastSave="{00000000-0000-0000-0000-000000000000}"/>
  <bookViews>
    <workbookView xWindow="25890" yWindow="300" windowWidth="22230" windowHeight="20580" xr2:uid="{3ED5B43B-BDFF-4404-A309-2D9EBF7B58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39" i="1" l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38" i="1"/>
  <c r="AM40" i="1"/>
  <c r="AM41" i="1"/>
  <c r="AL39" i="1"/>
  <c r="AM39" i="1" s="1"/>
  <c r="AL40" i="1"/>
  <c r="AL41" i="1"/>
  <c r="AL42" i="1"/>
  <c r="AM42" i="1" s="1"/>
  <c r="AL38" i="1"/>
  <c r="AM38" i="1" s="1"/>
  <c r="AR47" i="1" l="1"/>
  <c r="AR46" i="1"/>
  <c r="AR43" i="1"/>
  <c r="AS43" i="1" s="1"/>
  <c r="AR42" i="1"/>
  <c r="AS42" i="1" s="1"/>
  <c r="AR41" i="1"/>
  <c r="AR38" i="1"/>
  <c r="AR40" i="1"/>
  <c r="AR39" i="1"/>
  <c r="AS39" i="1" s="1"/>
  <c r="AL44" i="1"/>
  <c r="AM44" i="1" s="1"/>
  <c r="AR44" i="1" s="1"/>
  <c r="AS44" i="1" s="1"/>
  <c r="AL45" i="1"/>
  <c r="AM45" i="1" s="1"/>
  <c r="AR45" i="1" s="1"/>
  <c r="AS45" i="1" s="1"/>
  <c r="AL46" i="1"/>
  <c r="AM46" i="1" s="1"/>
  <c r="AL47" i="1"/>
  <c r="AM47" i="1" s="1"/>
  <c r="AL48" i="1"/>
  <c r="AM48" i="1" s="1"/>
  <c r="AR48" i="1" s="1"/>
  <c r="AS48" i="1" s="1"/>
  <c r="AL49" i="1"/>
  <c r="AM49" i="1" s="1"/>
  <c r="AR49" i="1" s="1"/>
  <c r="AS49" i="1" s="1"/>
  <c r="AL50" i="1"/>
  <c r="AM50" i="1" s="1"/>
  <c r="AR50" i="1" s="1"/>
  <c r="AS50" i="1" s="1"/>
  <c r="AL51" i="1"/>
  <c r="AM51" i="1" s="1"/>
  <c r="AR51" i="1" s="1"/>
  <c r="AS51" i="1" s="1"/>
  <c r="AL43" i="1"/>
  <c r="AM43" i="1" s="1"/>
  <c r="AE43" i="1"/>
  <c r="AG43" i="1" s="1"/>
  <c r="AE44" i="1"/>
  <c r="AG44" i="1" s="1"/>
  <c r="AE45" i="1"/>
  <c r="AG45" i="1" s="1"/>
  <c r="AE46" i="1"/>
  <c r="AG46" i="1" s="1"/>
  <c r="AE47" i="1"/>
  <c r="AG47" i="1" s="1"/>
  <c r="AE48" i="1"/>
  <c r="AG48" i="1" s="1"/>
  <c r="AE49" i="1"/>
  <c r="AG49" i="1" s="1"/>
  <c r="AE50" i="1"/>
  <c r="AG50" i="1" s="1"/>
  <c r="AE51" i="1"/>
  <c r="AG51" i="1" s="1"/>
  <c r="AB43" i="1"/>
  <c r="AB44" i="1"/>
  <c r="AB45" i="1"/>
  <c r="AB46" i="1"/>
  <c r="AB47" i="1"/>
  <c r="AB48" i="1"/>
  <c r="AB49" i="1"/>
  <c r="AB50" i="1"/>
  <c r="AB51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AS40" i="1" l="1"/>
  <c r="AS41" i="1"/>
  <c r="AS47" i="1"/>
  <c r="AC49" i="1"/>
  <c r="AD47" i="1"/>
  <c r="AS46" i="1"/>
  <c r="AD45" i="1"/>
  <c r="AD44" i="1"/>
  <c r="AS38" i="1"/>
  <c r="AD51" i="1"/>
  <c r="AD46" i="1"/>
  <c r="AD43" i="1"/>
  <c r="AC51" i="1"/>
  <c r="AC45" i="1"/>
  <c r="AD49" i="1"/>
  <c r="AC48" i="1"/>
  <c r="AD48" i="1"/>
  <c r="AC47" i="1"/>
  <c r="AC50" i="1"/>
  <c r="AC44" i="1"/>
  <c r="AC46" i="1"/>
  <c r="AC43" i="1"/>
  <c r="AD50" i="1"/>
  <c r="AR23" i="1"/>
  <c r="AQ25" i="1"/>
  <c r="AQ26" i="1"/>
  <c r="AQ27" i="1"/>
  <c r="AQ28" i="1"/>
  <c r="AQ29" i="1"/>
  <c r="AQ30" i="1"/>
  <c r="AQ31" i="1"/>
  <c r="AQ32" i="1"/>
  <c r="AQ33" i="1"/>
  <c r="AQ34" i="1"/>
  <c r="AQ35" i="1"/>
  <c r="AQ24" i="1"/>
  <c r="AM29" i="1"/>
  <c r="AM30" i="1"/>
  <c r="AM31" i="1"/>
  <c r="AM32" i="1"/>
  <c r="AL25" i="1"/>
  <c r="AM25" i="1" s="1"/>
  <c r="AR25" i="1" s="1"/>
  <c r="AL26" i="1"/>
  <c r="AM26" i="1" s="1"/>
  <c r="AR26" i="1" s="1"/>
  <c r="AL27" i="1"/>
  <c r="AM27" i="1" s="1"/>
  <c r="AR27" i="1" s="1"/>
  <c r="AL28" i="1"/>
  <c r="AM28" i="1" s="1"/>
  <c r="AR28" i="1" s="1"/>
  <c r="AL29" i="1"/>
  <c r="AL30" i="1"/>
  <c r="AL31" i="1"/>
  <c r="AL32" i="1"/>
  <c r="AL33" i="1"/>
  <c r="AM33" i="1" s="1"/>
  <c r="AR33" i="1" s="1"/>
  <c r="AL34" i="1"/>
  <c r="AM34" i="1" s="1"/>
  <c r="AL35" i="1"/>
  <c r="AM35" i="1" s="1"/>
  <c r="AL24" i="1"/>
  <c r="AM24" i="1" s="1"/>
  <c r="AE22" i="1"/>
  <c r="AG22" i="1" s="1"/>
  <c r="AE23" i="1"/>
  <c r="AG23" i="1" s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G38" i="1" s="1"/>
  <c r="AE39" i="1"/>
  <c r="AG39" i="1" s="1"/>
  <c r="AE40" i="1"/>
  <c r="AG40" i="1" s="1"/>
  <c r="AE41" i="1"/>
  <c r="AG41" i="1" s="1"/>
  <c r="AE42" i="1"/>
  <c r="AG42" i="1" s="1"/>
  <c r="AR32" i="1" l="1"/>
  <c r="AR29" i="1"/>
  <c r="AR31" i="1"/>
  <c r="AR30" i="1"/>
  <c r="AR24" i="1"/>
  <c r="AR35" i="1"/>
  <c r="AR34" i="1"/>
  <c r="AG37" i="1"/>
  <c r="AB36" i="1"/>
  <c r="AD36" i="1" s="1"/>
  <c r="AB37" i="1"/>
  <c r="AD37" i="1" s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38" i="1"/>
  <c r="AC38" i="1" s="1"/>
  <c r="AB39" i="1"/>
  <c r="AD39" i="1" s="1"/>
  <c r="AB40" i="1"/>
  <c r="AC40" i="1" s="1"/>
  <c r="AB41" i="1"/>
  <c r="AC41" i="1" s="1"/>
  <c r="AB42" i="1"/>
  <c r="AD42" i="1" s="1"/>
  <c r="AC42" i="1" l="1"/>
  <c r="AD41" i="1"/>
  <c r="AC37" i="1"/>
  <c r="AC39" i="1"/>
  <c r="AD40" i="1"/>
  <c r="AC36" i="1"/>
  <c r="AG36" i="1"/>
  <c r="AD38" i="1"/>
  <c r="AD22" i="1"/>
  <c r="AD23" i="1"/>
  <c r="AC22" i="1"/>
  <c r="AC23" i="1"/>
  <c r="AB2" i="1"/>
  <c r="AB24" i="1"/>
  <c r="AB25" i="1"/>
  <c r="AB26" i="1"/>
  <c r="AB27" i="1"/>
  <c r="AB28" i="1"/>
  <c r="AD28" i="1" s="1"/>
  <c r="AB29" i="1"/>
  <c r="AB30" i="1"/>
  <c r="AB31" i="1"/>
  <c r="AB32" i="1"/>
  <c r="AB33" i="1"/>
  <c r="AB34" i="1"/>
  <c r="AB35" i="1"/>
  <c r="AG29" i="1" l="1"/>
  <c r="AS29" i="1"/>
  <c r="AG34" i="1"/>
  <c r="AS34" i="1"/>
  <c r="AD33" i="1"/>
  <c r="AG30" i="1"/>
  <c r="AS30" i="1"/>
  <c r="AG31" i="1"/>
  <c r="AS31" i="1"/>
  <c r="AS32" i="1"/>
  <c r="AG32" i="1"/>
  <c r="AG33" i="1"/>
  <c r="AS33" i="1"/>
  <c r="AD35" i="1"/>
  <c r="AC32" i="1"/>
  <c r="AG24" i="1"/>
  <c r="AS24" i="1"/>
  <c r="AG25" i="1"/>
  <c r="AS25" i="1"/>
  <c r="AS26" i="1"/>
  <c r="AG26" i="1"/>
  <c r="AG35" i="1"/>
  <c r="AS35" i="1"/>
  <c r="AD34" i="1"/>
  <c r="AC31" i="1"/>
  <c r="AC30" i="1"/>
  <c r="AC29" i="1"/>
  <c r="AS27" i="1"/>
  <c r="AG27" i="1"/>
  <c r="AS28" i="1"/>
  <c r="AG28" i="1"/>
  <c r="AD27" i="1"/>
  <c r="AD25" i="1"/>
  <c r="AD26" i="1"/>
  <c r="AD24" i="1"/>
  <c r="AC34" i="1"/>
  <c r="AC28" i="1"/>
  <c r="AD32" i="1"/>
  <c r="AC27" i="1"/>
  <c r="AD31" i="1"/>
  <c r="AC26" i="1"/>
  <c r="AD30" i="1"/>
  <c r="AC25" i="1"/>
  <c r="AD29" i="1"/>
  <c r="AC24" i="1"/>
  <c r="AC35" i="1"/>
  <c r="AC33" i="1"/>
  <c r="AE3" i="1"/>
  <c r="AE4" i="1"/>
  <c r="AE5" i="1"/>
  <c r="AE6" i="1"/>
  <c r="AE7" i="1"/>
  <c r="AE8" i="1"/>
  <c r="AE9" i="1"/>
  <c r="AE2" i="1"/>
  <c r="AE13" i="1"/>
  <c r="AE14" i="1"/>
  <c r="AE15" i="1"/>
  <c r="AE16" i="1"/>
  <c r="AE17" i="1"/>
  <c r="AE18" i="1"/>
  <c r="AE19" i="1"/>
  <c r="AE20" i="1"/>
  <c r="AE21" i="1"/>
  <c r="AE12" i="1"/>
  <c r="AQ20" i="1" l="1"/>
  <c r="AQ21" i="1"/>
  <c r="AQ17" i="1"/>
  <c r="AQ18" i="1"/>
  <c r="AQ19" i="1"/>
  <c r="AQ16" i="1"/>
  <c r="AQ15" i="1"/>
  <c r="AQ14" i="1"/>
  <c r="AQ13" i="1"/>
  <c r="AQ12" i="1"/>
  <c r="AQ3" i="1"/>
  <c r="AQ4" i="1"/>
  <c r="AQ5" i="1"/>
  <c r="AQ6" i="1"/>
  <c r="AQ7" i="1"/>
  <c r="AQ8" i="1"/>
  <c r="AQ9" i="1"/>
  <c r="AQ2" i="1"/>
  <c r="AL13" i="1" l="1"/>
  <c r="AM13" i="1" s="1"/>
  <c r="AR13" i="1" s="1"/>
  <c r="AL14" i="1"/>
  <c r="AM14" i="1" s="1"/>
  <c r="AR14" i="1" s="1"/>
  <c r="AL15" i="1"/>
  <c r="AM15" i="1" s="1"/>
  <c r="AR15" i="1" s="1"/>
  <c r="AL16" i="1"/>
  <c r="AM16" i="1" s="1"/>
  <c r="AR16" i="1" s="1"/>
  <c r="AL17" i="1"/>
  <c r="AM17" i="1" s="1"/>
  <c r="AR17" i="1" s="1"/>
  <c r="AL18" i="1"/>
  <c r="AM18" i="1" s="1"/>
  <c r="AR18" i="1" s="1"/>
  <c r="AL19" i="1"/>
  <c r="AM19" i="1" s="1"/>
  <c r="AR19" i="1" s="1"/>
  <c r="AL20" i="1"/>
  <c r="AM20" i="1" s="1"/>
  <c r="AR20" i="1" s="1"/>
  <c r="AL21" i="1"/>
  <c r="AM21" i="1" s="1"/>
  <c r="AR21" i="1" s="1"/>
  <c r="AL12" i="1"/>
  <c r="AM12" i="1" s="1"/>
  <c r="AR12" i="1" s="1"/>
  <c r="AL9" i="1" l="1"/>
  <c r="AM9" i="1" s="1"/>
  <c r="AR9" i="1" s="1"/>
  <c r="AL8" i="1" l="1"/>
  <c r="AM8" i="1" s="1"/>
  <c r="AR8" i="1" s="1"/>
  <c r="AL3" i="1" l="1"/>
  <c r="AM3" i="1" s="1"/>
  <c r="AR3" i="1" s="1"/>
  <c r="AL4" i="1"/>
  <c r="AM4" i="1" s="1"/>
  <c r="AR4" i="1" s="1"/>
  <c r="AL5" i="1"/>
  <c r="AM5" i="1" s="1"/>
  <c r="AR5" i="1" s="1"/>
  <c r="AL6" i="1"/>
  <c r="AM6" i="1" s="1"/>
  <c r="AR6" i="1" s="1"/>
  <c r="AL7" i="1"/>
  <c r="AM7" i="1" s="1"/>
  <c r="AR7" i="1" s="1"/>
  <c r="AL2" i="1" l="1"/>
  <c r="AM2" i="1" s="1"/>
  <c r="AR2" i="1" s="1"/>
  <c r="G18" i="1" l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AD8" i="1" l="1"/>
  <c r="AC8" i="1"/>
  <c r="AD10" i="1"/>
  <c r="AC10" i="1"/>
  <c r="AC14" i="1"/>
  <c r="AD14" i="1"/>
  <c r="AD9" i="1"/>
  <c r="AC9" i="1"/>
  <c r="AD11" i="1"/>
  <c r="AC11" i="1"/>
  <c r="AD12" i="1"/>
  <c r="AC12" i="1"/>
  <c r="AC13" i="1"/>
  <c r="AD13" i="1"/>
  <c r="AC15" i="1"/>
  <c r="AD15" i="1"/>
  <c r="AD2" i="1"/>
  <c r="AC2" i="1"/>
  <c r="AC16" i="1"/>
  <c r="AD16" i="1"/>
  <c r="AD3" i="1"/>
  <c r="AC3" i="1"/>
  <c r="AD17" i="1"/>
  <c r="AC17" i="1"/>
  <c r="AD4" i="1"/>
  <c r="AC4" i="1"/>
  <c r="AD18" i="1"/>
  <c r="AC18" i="1"/>
  <c r="AD5" i="1"/>
  <c r="AC5" i="1"/>
  <c r="AD19" i="1"/>
  <c r="AC19" i="1"/>
  <c r="AD6" i="1"/>
  <c r="AC6" i="1"/>
  <c r="AD20" i="1"/>
  <c r="AC20" i="1"/>
  <c r="AD7" i="1"/>
  <c r="AC7" i="1"/>
  <c r="AD21" i="1"/>
  <c r="AC21" i="1"/>
  <c r="AS8" i="1"/>
  <c r="AS13" i="1"/>
  <c r="AS9" i="1"/>
  <c r="AS10" i="1"/>
  <c r="AS14" i="1"/>
  <c r="AS18" i="1"/>
  <c r="AS11" i="1"/>
  <c r="AS12" i="1"/>
  <c r="AS15" i="1"/>
  <c r="AS16" i="1"/>
  <c r="AS3" i="1"/>
  <c r="AS17" i="1"/>
  <c r="AS4" i="1"/>
  <c r="AS5" i="1"/>
  <c r="AS19" i="1"/>
  <c r="AS6" i="1"/>
  <c r="AS20" i="1"/>
  <c r="AS7" i="1"/>
  <c r="AS21" i="1"/>
  <c r="AG2" i="1"/>
  <c r="AS2" i="1"/>
  <c r="AG3" i="1"/>
  <c r="AG15" i="1"/>
  <c r="AG13" i="1"/>
  <c r="AG16" i="1"/>
  <c r="AG9" i="1"/>
  <c r="AG12" i="1"/>
  <c r="AG4" i="1"/>
  <c r="AG5" i="1"/>
  <c r="AG7" i="1"/>
  <c r="AG8" i="1"/>
  <c r="AG20" i="1"/>
  <c r="AG14" i="1"/>
  <c r="AG6" i="1"/>
  <c r="AG17" i="1"/>
  <c r="AG18" i="1"/>
  <c r="AG19" i="1"/>
  <c r="AG21" i="1"/>
</calcChain>
</file>

<file path=xl/sharedStrings.xml><?xml version="1.0" encoding="utf-8"?>
<sst xmlns="http://schemas.openxmlformats.org/spreadsheetml/2006/main" count="445" uniqueCount="176">
  <si>
    <t>김제</t>
    <phoneticPr fontId="2" type="noConversion"/>
  </si>
  <si>
    <t>GJ-R1</t>
    <phoneticPr fontId="2" type="noConversion"/>
  </si>
  <si>
    <t>전북특별자치도 김제시 부량면 용성리 22-11</t>
    <phoneticPr fontId="2" type="noConversion"/>
  </si>
  <si>
    <t>장수용</t>
    <phoneticPr fontId="2" type="noConversion"/>
  </si>
  <si>
    <t>벼</t>
    <phoneticPr fontId="2" type="noConversion"/>
  </si>
  <si>
    <t>동진찰</t>
    <phoneticPr fontId="2" type="noConversion"/>
  </si>
  <si>
    <t>GJ-R2</t>
    <phoneticPr fontId="2" type="noConversion"/>
  </si>
  <si>
    <t>전북특별자치도 김제시 부량면 신용리 12</t>
    <phoneticPr fontId="2" type="noConversion"/>
  </si>
  <si>
    <t>GJ-R3</t>
    <phoneticPr fontId="2" type="noConversion"/>
  </si>
  <si>
    <t>전북특별자치도 김제시 부량면 신용리 12-1</t>
    <phoneticPr fontId="2" type="noConversion"/>
  </si>
  <si>
    <t>GJ-R4</t>
    <phoneticPr fontId="2" type="noConversion"/>
  </si>
  <si>
    <t>전북특별자치도 김제시 부량면 신용리 12-2</t>
    <phoneticPr fontId="2" type="noConversion"/>
  </si>
  <si>
    <t>GJ-R5</t>
    <phoneticPr fontId="2" type="noConversion"/>
  </si>
  <si>
    <t>전북특별자치도 김제시 부량면 신용리 12-3</t>
    <phoneticPr fontId="2" type="noConversion"/>
  </si>
  <si>
    <t>GJ-R6</t>
    <phoneticPr fontId="2" type="noConversion"/>
  </si>
  <si>
    <t>전북특별자치도 김제시 부량면 신용리 12-4</t>
    <phoneticPr fontId="2" type="noConversion"/>
  </si>
  <si>
    <t>GJ-R7</t>
    <phoneticPr fontId="2" type="noConversion"/>
  </si>
  <si>
    <t>전북특별자치도 김제시 부량면 신용리 9-2, 9-3</t>
    <phoneticPr fontId="2" type="noConversion"/>
  </si>
  <si>
    <t>황금택</t>
    <phoneticPr fontId="2" type="noConversion"/>
  </si>
  <si>
    <t>신동진</t>
    <phoneticPr fontId="2" type="noConversion"/>
  </si>
  <si>
    <t>GJ-R8</t>
    <phoneticPr fontId="2" type="noConversion"/>
  </si>
  <si>
    <t>전북특별자치도 김제시 부량면 신용리 9-4</t>
    <phoneticPr fontId="2" type="noConversion"/>
  </si>
  <si>
    <t>강정우</t>
    <phoneticPr fontId="2" type="noConversion"/>
  </si>
  <si>
    <t>김제</t>
    <phoneticPr fontId="2" type="noConversion"/>
  </si>
  <si>
    <t>GJ-R11</t>
    <phoneticPr fontId="2" type="noConversion"/>
  </si>
  <si>
    <t>전북특별자치도 김제시 부량면 신용리 42-9, 42-10</t>
    <phoneticPr fontId="2" type="noConversion"/>
  </si>
  <si>
    <t>이경도</t>
    <phoneticPr fontId="2" type="noConversion"/>
  </si>
  <si>
    <t>벼</t>
    <phoneticPr fontId="2" type="noConversion"/>
  </si>
  <si>
    <t>신동진</t>
    <phoneticPr fontId="2" type="noConversion"/>
  </si>
  <si>
    <t>GJ-R12</t>
    <phoneticPr fontId="2" type="noConversion"/>
  </si>
  <si>
    <t>전북특별자치도 김제시 부량면 신용리 42-11</t>
    <phoneticPr fontId="2" type="noConversion"/>
  </si>
  <si>
    <t>화성</t>
    <phoneticPr fontId="2" type="noConversion"/>
  </si>
  <si>
    <t>HS-R1</t>
    <phoneticPr fontId="2" type="noConversion"/>
  </si>
  <si>
    <t>경기도 화성시 장안면 수촌리 1167</t>
    <phoneticPr fontId="2" type="noConversion"/>
  </si>
  <si>
    <t xml:space="preserve"> 배선문 </t>
  </si>
  <si>
    <t>골든퀸3호</t>
    <phoneticPr fontId="2" type="noConversion"/>
  </si>
  <si>
    <t>HS-R2</t>
    <phoneticPr fontId="2" type="noConversion"/>
  </si>
  <si>
    <t>경기도 화성시 장안면 수촌리 1168</t>
    <phoneticPr fontId="2" type="noConversion"/>
  </si>
  <si>
    <t>HS-R3</t>
    <phoneticPr fontId="2" type="noConversion"/>
  </si>
  <si>
    <t>경기도 화성시 장안면 수촌리 1254</t>
    <phoneticPr fontId="2" type="noConversion"/>
  </si>
  <si>
    <t xml:space="preserve"> 이상린(호영찬)</t>
    <phoneticPr fontId="2" type="noConversion"/>
  </si>
  <si>
    <t>HS-R4</t>
    <phoneticPr fontId="2" type="noConversion"/>
  </si>
  <si>
    <t>경기도 화성시 장안면 수촌리 1253</t>
    <phoneticPr fontId="2" type="noConversion"/>
  </si>
  <si>
    <t>HS-R5</t>
    <phoneticPr fontId="2" type="noConversion"/>
  </si>
  <si>
    <t>경기도 화성시 장안면 장안리 1655</t>
    <phoneticPr fontId="2" type="noConversion"/>
  </si>
  <si>
    <t xml:space="preserve"> 서장식 </t>
  </si>
  <si>
    <t>HS-R6</t>
    <phoneticPr fontId="2" type="noConversion"/>
  </si>
  <si>
    <t>경기도 화성시 장안면 장안리 1654</t>
    <phoneticPr fontId="2" type="noConversion"/>
  </si>
  <si>
    <t>HS-R7</t>
    <phoneticPr fontId="2" type="noConversion"/>
  </si>
  <si>
    <t>경기도 화성시 장안면 장안리 1653</t>
    <phoneticPr fontId="2" type="noConversion"/>
  </si>
  <si>
    <t>HS-R8</t>
    <phoneticPr fontId="2" type="noConversion"/>
  </si>
  <si>
    <t>경기도 화성시 장안면 장안리 1652</t>
    <phoneticPr fontId="2" type="noConversion"/>
  </si>
  <si>
    <t>HS-R9</t>
    <phoneticPr fontId="2" type="noConversion"/>
  </si>
  <si>
    <t>경기도 화성시 장안면 장안리 1632</t>
    <phoneticPr fontId="2" type="noConversion"/>
  </si>
  <si>
    <t xml:space="preserve"> 안일기 </t>
  </si>
  <si>
    <t>HS-R10</t>
    <phoneticPr fontId="2" type="noConversion"/>
  </si>
  <si>
    <t>경기도 화성시 장안면 장안리 1625</t>
    <phoneticPr fontId="2" type="noConversion"/>
  </si>
  <si>
    <t>지역</t>
    <phoneticPr fontId="2" type="noConversion"/>
  </si>
  <si>
    <t>코드번호</t>
    <phoneticPr fontId="2" type="noConversion"/>
  </si>
  <si>
    <t>주소</t>
    <phoneticPr fontId="2" type="noConversion"/>
  </si>
  <si>
    <t>경작자</t>
    <phoneticPr fontId="2" type="noConversion"/>
  </si>
  <si>
    <t>면적(m2)</t>
    <phoneticPr fontId="2" type="noConversion"/>
  </si>
  <si>
    <t>면적(평)</t>
    <phoneticPr fontId="2" type="noConversion"/>
  </si>
  <si>
    <t>CASE</t>
    <phoneticPr fontId="2" type="noConversion"/>
  </si>
  <si>
    <t xml:space="preserve"> 작물</t>
    <phoneticPr fontId="2" type="noConversion"/>
  </si>
  <si>
    <t>품종</t>
    <phoneticPr fontId="2" type="noConversion"/>
  </si>
  <si>
    <t>평당 수확량</t>
    <phoneticPr fontId="2" type="noConversion"/>
  </si>
  <si>
    <t>필요질소량(kg/10a)</t>
    <phoneticPr fontId="2" type="noConversion"/>
  </si>
  <si>
    <t>수확량(kg)</t>
    <phoneticPr fontId="2" type="noConversion"/>
  </si>
  <si>
    <t>경기도 화성시 장안면 수촌리 1166</t>
    <phoneticPr fontId="2" type="noConversion"/>
  </si>
  <si>
    <t>경기도 화성시 장안면 수촌리 1252</t>
    <phoneticPr fontId="2" type="noConversion"/>
  </si>
  <si>
    <t>배선문</t>
    <phoneticPr fontId="2" type="noConversion"/>
  </si>
  <si>
    <t>이상린(호영찬)</t>
    <phoneticPr fontId="2" type="noConversion"/>
  </si>
  <si>
    <t>N/A</t>
    <phoneticPr fontId="2" type="noConversion"/>
  </si>
  <si>
    <t>비료 질소 함량</t>
    <phoneticPr fontId="2" type="noConversion"/>
  </si>
  <si>
    <t>필요질소량(kg/면적)</t>
    <phoneticPr fontId="2" type="noConversion"/>
  </si>
  <si>
    <t>최대사용량(kg/10a)</t>
    <phoneticPr fontId="2" type="noConversion"/>
  </si>
  <si>
    <t>포대당 질소 무게(kg)</t>
    <phoneticPr fontId="2" type="noConversion"/>
  </si>
  <si>
    <t>웃거름 살포수량</t>
    <phoneticPr fontId="2" type="noConversion"/>
  </si>
  <si>
    <t>밑거름 살포량(kg/면적)</t>
    <phoneticPr fontId="2" type="noConversion"/>
  </si>
  <si>
    <t>밑거름 살포수량(포대)</t>
    <phoneticPr fontId="2" type="noConversion"/>
  </si>
  <si>
    <t>밑거름 포대당 무게(kg)</t>
    <phoneticPr fontId="2" type="noConversion"/>
  </si>
  <si>
    <t>웃거름 비료 질소 함량</t>
    <phoneticPr fontId="2" type="noConversion"/>
  </si>
  <si>
    <t>웃거름 포대당 무게(kg)</t>
    <phoneticPr fontId="2" type="noConversion"/>
  </si>
  <si>
    <t>웃거름 질소 살포량(kg/면적)</t>
    <phoneticPr fontId="2" type="noConversion"/>
  </si>
  <si>
    <t>총 질소 살포량(kg/면적)</t>
    <phoneticPr fontId="2" type="noConversion"/>
  </si>
  <si>
    <t>soil_pH</t>
  </si>
  <si>
    <t>soil_EC</t>
  </si>
  <si>
    <t>soil_OM</t>
  </si>
  <si>
    <t>soil_AVP</t>
  </si>
  <si>
    <t>soil_AVSi</t>
  </si>
  <si>
    <t>soil_K</t>
  </si>
  <si>
    <t>soil_Ca</t>
  </si>
  <si>
    <t>soil_Mg</t>
  </si>
  <si>
    <t>leaf_N1</t>
  </si>
  <si>
    <t>leaf_N2</t>
  </si>
  <si>
    <t>yield_weight</t>
  </si>
  <si>
    <t>yield_moisture</t>
  </si>
  <si>
    <t>yield_protein</t>
  </si>
  <si>
    <t>총 질소 살포량(kg/10a)</t>
    <phoneticPr fontId="2" type="noConversion"/>
  </si>
  <si>
    <t>필요 살포수량(포대)</t>
    <phoneticPr fontId="2" type="noConversion"/>
  </si>
  <si>
    <t>구례</t>
    <phoneticPr fontId="2" type="noConversion"/>
  </si>
  <si>
    <t>GR-01</t>
    <phoneticPr fontId="2" type="noConversion"/>
  </si>
  <si>
    <t>전라남도 구례군 용방면 신도리 1154-3</t>
    <phoneticPr fontId="2" type="noConversion"/>
  </si>
  <si>
    <t>양홍식</t>
    <phoneticPr fontId="2" type="noConversion"/>
  </si>
  <si>
    <t>GR-02</t>
  </si>
  <si>
    <t>전라남도 구례군 용방면 신도리 1154-11</t>
    <phoneticPr fontId="2" type="noConversion"/>
  </si>
  <si>
    <t>GR-03</t>
  </si>
  <si>
    <t>전라남도 구례군 용방면 신도리 1154-12</t>
    <phoneticPr fontId="2" type="noConversion"/>
  </si>
  <si>
    <t>GR-04</t>
  </si>
  <si>
    <t>전라남도 구례군 용방면 신도리 1155-8</t>
    <phoneticPr fontId="2" type="noConversion"/>
  </si>
  <si>
    <t>GR-05</t>
  </si>
  <si>
    <t>전라남도 구례군 용방면 신도리 1155-10</t>
    <phoneticPr fontId="2" type="noConversion"/>
  </si>
  <si>
    <t>GR-06</t>
  </si>
  <si>
    <t>전라남도 구례군 용방면 신도리 1155-13</t>
    <phoneticPr fontId="2" type="noConversion"/>
  </si>
  <si>
    <t>GR-07</t>
  </si>
  <si>
    <t>전라남도 구례군 용방면 신도리 1155-17,1155-18,1155-19</t>
    <phoneticPr fontId="2" type="noConversion"/>
  </si>
  <si>
    <t>GR-08</t>
  </si>
  <si>
    <t>전라남도 구례군 용방면 신도리 1162-6</t>
    <phoneticPr fontId="2" type="noConversion"/>
  </si>
  <si>
    <t>GR-09</t>
  </si>
  <si>
    <t>전라남도 구례군 용방면 신도리 1162-9,1162-10</t>
    <phoneticPr fontId="2" type="noConversion"/>
  </si>
  <si>
    <t>GR-10</t>
    <phoneticPr fontId="2" type="noConversion"/>
  </si>
  <si>
    <t>전라남도 구례군 용방면 중방리 688-4</t>
    <phoneticPr fontId="2" type="noConversion"/>
  </si>
  <si>
    <t>GR-11</t>
    <phoneticPr fontId="2" type="noConversion"/>
  </si>
  <si>
    <t>전라남도 구례군 용방면 중방리 688-8</t>
    <phoneticPr fontId="2" type="noConversion"/>
  </si>
  <si>
    <t>GR-12</t>
    <phoneticPr fontId="2" type="noConversion"/>
  </si>
  <si>
    <t>전라남도 구례군 용방면 중방리 688-18</t>
    <phoneticPr fontId="2" type="noConversion"/>
  </si>
  <si>
    <t>매출</t>
    <phoneticPr fontId="2" type="noConversion"/>
  </si>
  <si>
    <t>새청무</t>
    <phoneticPr fontId="2" type="noConversion"/>
  </si>
  <si>
    <t>함수율</t>
    <phoneticPr fontId="2" type="noConversion"/>
  </si>
  <si>
    <t>건중량(kg)</t>
    <phoneticPr fontId="2" type="noConversion"/>
  </si>
  <si>
    <t>년도</t>
    <phoneticPr fontId="2" type="noConversion"/>
  </si>
  <si>
    <t>GJ-60</t>
  </si>
  <si>
    <t>전라북도 김제시 부량면 용성리 22-11</t>
    <phoneticPr fontId="2" type="noConversion"/>
  </si>
  <si>
    <t>GJ-61</t>
  </si>
  <si>
    <t>전라북도 김제시 부량면 신용리 12</t>
    <phoneticPr fontId="2" type="noConversion"/>
  </si>
  <si>
    <t>GJ-62</t>
  </si>
  <si>
    <t>전라북도 김제시 부량면 신용리 12-1</t>
    <phoneticPr fontId="2" type="noConversion"/>
  </si>
  <si>
    <t>GJ-63</t>
  </si>
  <si>
    <t>전라북도 김제시 부량면 신용리 12-2</t>
    <phoneticPr fontId="2" type="noConversion"/>
  </si>
  <si>
    <t>GJ-64</t>
  </si>
  <si>
    <t>전라북도 김제시 부량면 신용리 12-3</t>
    <phoneticPr fontId="2" type="noConversion"/>
  </si>
  <si>
    <t>밑거름 미달, 웃거름 변량</t>
    <phoneticPr fontId="2" type="noConversion"/>
  </si>
  <si>
    <t>밑거름 정량, 웃거름 변량</t>
    <phoneticPr fontId="2" type="noConversion"/>
  </si>
  <si>
    <t>골든퀸 3호</t>
    <phoneticPr fontId="2" type="noConversion"/>
  </si>
  <si>
    <t>일반 관행</t>
    <phoneticPr fontId="2" type="noConversion"/>
  </si>
  <si>
    <t>농진청 조사</t>
    <phoneticPr fontId="2" type="noConversion"/>
  </si>
  <si>
    <t>밑거름 과다, 웃거름 변량</t>
    <phoneticPr fontId="2" type="noConversion"/>
  </si>
  <si>
    <t>밑거름 미달, 웃거름 관행</t>
    <phoneticPr fontId="2" type="noConversion"/>
  </si>
  <si>
    <t>밑거름 정량, 웃거름 관행</t>
    <phoneticPr fontId="2" type="noConversion"/>
  </si>
  <si>
    <t>밑거름 과다, 웃거름 관행</t>
    <phoneticPr fontId="2" type="noConversion"/>
  </si>
  <si>
    <t>전라남도 구례군 용방면 신도리 1144-1</t>
    <phoneticPr fontId="2" type="noConversion"/>
  </si>
  <si>
    <t>전라남도 구례군 용방면 신도리 1145-1</t>
    <phoneticPr fontId="2" type="noConversion"/>
  </si>
  <si>
    <t>구분</t>
    <phoneticPr fontId="2" type="noConversion"/>
  </si>
  <si>
    <t>실증</t>
    <phoneticPr fontId="2" type="noConversion"/>
  </si>
  <si>
    <t>건조 수확량(kg/10a)</t>
    <phoneticPr fontId="2" type="noConversion"/>
  </si>
  <si>
    <t>GJ-23</t>
  </si>
  <si>
    <t>전라북도 김제시 부량면 신용리 18-13,18-14</t>
    <phoneticPr fontId="2" type="noConversion"/>
  </si>
  <si>
    <t>GJ-25</t>
  </si>
  <si>
    <t>전라북도 김제시 부량면 신용리 19-11</t>
  </si>
  <si>
    <t>GJ-26</t>
  </si>
  <si>
    <t>전라북도 김제시 부량면 신용리 19-18</t>
    <phoneticPr fontId="2" type="noConversion"/>
  </si>
  <si>
    <t>GJ-27</t>
  </si>
  <si>
    <t>전라북도 김제시 부량면 신두리 102,102-1</t>
    <phoneticPr fontId="2" type="noConversion"/>
  </si>
  <si>
    <t>GJ-29</t>
  </si>
  <si>
    <t>전라북도 김제시 부량면 신용리 20-7</t>
    <phoneticPr fontId="2" type="noConversion"/>
  </si>
  <si>
    <t>GJ-30</t>
  </si>
  <si>
    <t>전라북도 김제시 부량면 신용리 20-8,20-9</t>
    <phoneticPr fontId="2" type="noConversion"/>
  </si>
  <si>
    <t>GJ-31</t>
  </si>
  <si>
    <t>전라북도 김제시 부량면 신용리 20-11</t>
    <phoneticPr fontId="2" type="noConversion"/>
  </si>
  <si>
    <t>GJ-32</t>
  </si>
  <si>
    <t>전라북도 김제시 부량면 신용리 20-13</t>
    <phoneticPr fontId="2" type="noConversion"/>
  </si>
  <si>
    <t>GJ-35</t>
  </si>
  <si>
    <t>전라북도 김제시 부량면 신용리 21-9</t>
    <phoneticPr fontId="2" type="noConversion"/>
  </si>
  <si>
    <t>밑거름 과다, 웃거름 미살포</t>
    <phoneticPr fontId="2" type="noConversion"/>
  </si>
  <si>
    <t>시비 처리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</si>
</sst>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76" formatCode="_-* #,##0_-;\-* #,##0_-;_-* &quot;-&quot;_-;_-@_-"/>
    <numFmt numFmtId="177" formatCode="_-* #,##0.00_-;\-* #,##0.00_-;_-* &quot;-&quot;??_-;_-@_-"/>
    <numFmt numFmtId="178" formatCode="0.00_);\(0.00\)"/>
    <numFmt numFmtId="179" formatCode="0.0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76" fontId="4" fillId="0" borderId="1" xfId="1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6" fontId="4" fillId="0" borderId="2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76" fontId="4" fillId="0" borderId="1" xfId="1" applyFon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76" fontId="4" fillId="0" borderId="1" xfId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2" fontId="4" fillId="0" borderId="1" xfId="0" applyNumberFormat="1" applyFont="1" applyBorder="1">
      <alignment vertical="center"/>
    </xf>
    <xf numFmtId="178" fontId="4" fillId="0" borderId="1" xfId="3" applyNumberFormat="1" applyFont="1" applyFill="1" applyBorder="1" applyAlignment="1">
      <alignment horizontal="center" vertical="center"/>
    </xf>
    <xf numFmtId="3" fontId="5" fillId="0" borderId="1" xfId="0" applyNumberFormat="1" applyFont="1" applyBorder="1">
      <alignment vertical="center"/>
    </xf>
    <xf numFmtId="43" fontId="4" fillId="0" borderId="1" xfId="0" applyNumberFormat="1" applyFont="1" applyBorder="1">
      <alignment vertical="center"/>
    </xf>
    <xf numFmtId="177" fontId="4" fillId="0" borderId="1" xfId="0" applyNumberFormat="1" applyFont="1" applyBorder="1">
      <alignment vertical="center"/>
    </xf>
    <xf numFmtId="178" fontId="4" fillId="0" borderId="3" xfId="2" applyNumberFormat="1" applyFont="1" applyFill="1" applyBorder="1" applyAlignment="1">
      <alignment horizontal="center" vertical="center"/>
    </xf>
    <xf numFmtId="178" fontId="4" fillId="0" borderId="1" xfId="2" applyNumberFormat="1" applyFont="1" applyBorder="1" applyAlignment="1">
      <alignment horizontal="center" vertical="center"/>
    </xf>
    <xf numFmtId="178" fontId="4" fillId="0" borderId="1" xfId="2" applyNumberFormat="1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17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">
    <cellStyle name="백분율" xfId="3" builtinId="5"/>
    <cellStyle name="쉼표" xfId="2" builtinId="3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9C495-F45E-40B7-8FCD-B2FFDFF6E4E4}">
  <dimension ref="A1:AS51"/>
  <sheetViews>
    <sheetView tabSelected="1" zoomScale="85" zoomScaleNormal="85"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H11" sqref="H11"/>
    </sheetView>
  </sheetViews>
  <sheetFormatPr defaultRowHeight="16.5" outlineLevelCol="1" x14ac:dyDescent="0.3"/>
  <cols>
    <col min="4" max="4" width="51.75" bestFit="1" customWidth="1"/>
    <col min="5" max="5" width="16.375" bestFit="1" customWidth="1"/>
    <col min="10" max="10" width="27.625" style="20" bestFit="1" customWidth="1"/>
    <col min="12" max="12" width="11.25" bestFit="1" customWidth="1"/>
    <col min="13" max="13" width="8.125" customWidth="1" outlineLevel="1"/>
    <col min="14" max="14" width="7.75" customWidth="1" outlineLevel="1"/>
    <col min="15" max="15" width="8.75" customWidth="1" outlineLevel="1"/>
    <col min="16" max="16" width="9.25" customWidth="1" outlineLevel="1"/>
    <col min="17" max="17" width="9.625" customWidth="1" outlineLevel="1"/>
    <col min="18" max="18" width="6.75" customWidth="1" outlineLevel="1"/>
    <col min="19" max="19" width="7.75" customWidth="1" outlineLevel="1"/>
    <col min="20" max="20" width="8.375" customWidth="1" outlineLevel="1"/>
    <col min="21" max="22" width="9" customWidth="1" outlineLevel="1"/>
    <col min="23" max="23" width="15" customWidth="1" outlineLevel="1"/>
    <col min="24" max="24" width="13.25" customWidth="1" outlineLevel="1"/>
    <col min="25" max="25" width="12.875" customWidth="1" outlineLevel="1"/>
    <col min="26" max="26" width="9.5" bestFit="1" customWidth="1"/>
    <col min="27" max="28" width="9.5" customWidth="1"/>
    <col min="29" max="29" width="12.75" bestFit="1" customWidth="1"/>
    <col min="30" max="30" width="20.25" bestFit="1" customWidth="1"/>
    <col min="31" max="31" width="18.875" bestFit="1" customWidth="1"/>
    <col min="32" max="32" width="18.875" customWidth="1"/>
    <col min="33" max="33" width="20.125" bestFit="1" customWidth="1"/>
    <col min="34" max="34" width="14.625" bestFit="1" customWidth="1"/>
    <col min="35" max="35" width="19.5" bestFit="1" customWidth="1"/>
    <col min="36" max="36" width="19.25" bestFit="1" customWidth="1"/>
    <col min="37" max="38" width="19.25" customWidth="1"/>
    <col min="39" max="39" width="23.5" bestFit="1" customWidth="1"/>
    <col min="40" max="40" width="16.125" bestFit="1" customWidth="1"/>
    <col min="41" max="41" width="18.875" bestFit="1" customWidth="1"/>
    <col min="42" max="42" width="18.875" customWidth="1"/>
    <col min="43" max="43" width="22.875" bestFit="1" customWidth="1"/>
    <col min="44" max="44" width="23.5" bestFit="1" customWidth="1"/>
    <col min="45" max="45" width="23" bestFit="1" customWidth="1"/>
  </cols>
  <sheetData>
    <row r="1" spans="1:45" x14ac:dyDescent="0.3">
      <c r="A1" s="1" t="s">
        <v>57</v>
      </c>
      <c r="B1" s="1" t="s">
        <v>131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153</v>
      </c>
      <c r="I1" s="1" t="s">
        <v>63</v>
      </c>
      <c r="J1" s="1" t="s">
        <v>175</v>
      </c>
      <c r="K1" s="1" t="s">
        <v>64</v>
      </c>
      <c r="L1" s="1" t="s">
        <v>65</v>
      </c>
      <c r="M1" s="3" t="s">
        <v>86</v>
      </c>
      <c r="N1" s="3" t="s">
        <v>87</v>
      </c>
      <c r="O1" s="3" t="s">
        <v>88</v>
      </c>
      <c r="P1" s="3" t="s">
        <v>89</v>
      </c>
      <c r="Q1" s="3" t="s">
        <v>90</v>
      </c>
      <c r="R1" s="3" t="s">
        <v>91</v>
      </c>
      <c r="S1" s="3" t="s">
        <v>92</v>
      </c>
      <c r="T1" s="3" t="s">
        <v>93</v>
      </c>
      <c r="U1" s="3" t="s">
        <v>94</v>
      </c>
      <c r="V1" s="3" t="s">
        <v>95</v>
      </c>
      <c r="W1" s="3" t="s">
        <v>97</v>
      </c>
      <c r="X1" s="3" t="s">
        <v>98</v>
      </c>
      <c r="Y1" s="3" t="s">
        <v>96</v>
      </c>
      <c r="Z1" s="1" t="s">
        <v>68</v>
      </c>
      <c r="AA1" s="1" t="s">
        <v>129</v>
      </c>
      <c r="AB1" s="1" t="s">
        <v>130</v>
      </c>
      <c r="AC1" s="1" t="s">
        <v>66</v>
      </c>
      <c r="AD1" s="1" t="s">
        <v>155</v>
      </c>
      <c r="AE1" s="1" t="s">
        <v>67</v>
      </c>
      <c r="AF1" s="1" t="s">
        <v>76</v>
      </c>
      <c r="AG1" s="2" t="s">
        <v>75</v>
      </c>
      <c r="AH1" s="1" t="s">
        <v>74</v>
      </c>
      <c r="AI1" s="1" t="s">
        <v>100</v>
      </c>
      <c r="AJ1" s="1" t="s">
        <v>80</v>
      </c>
      <c r="AK1" s="1" t="s">
        <v>81</v>
      </c>
      <c r="AL1" s="1" t="s">
        <v>77</v>
      </c>
      <c r="AM1" s="2" t="s">
        <v>79</v>
      </c>
      <c r="AN1" s="2" t="s">
        <v>78</v>
      </c>
      <c r="AO1" s="2" t="s">
        <v>83</v>
      </c>
      <c r="AP1" s="2" t="s">
        <v>82</v>
      </c>
      <c r="AQ1" s="2" t="s">
        <v>84</v>
      </c>
      <c r="AR1" s="2" t="s">
        <v>85</v>
      </c>
      <c r="AS1" s="2" t="s">
        <v>99</v>
      </c>
    </row>
    <row r="2" spans="1:45" x14ac:dyDescent="0.3">
      <c r="A2" s="7" t="s">
        <v>0</v>
      </c>
      <c r="B2" s="7">
        <v>2025</v>
      </c>
      <c r="C2" s="7" t="s">
        <v>1</v>
      </c>
      <c r="D2" s="5" t="s">
        <v>2</v>
      </c>
      <c r="E2" s="8" t="s">
        <v>3</v>
      </c>
      <c r="F2" s="4">
        <v>4000</v>
      </c>
      <c r="G2" s="4">
        <f t="shared" ref="G2:G51" si="0">F2/3.3058</f>
        <v>1209.9945550245025</v>
      </c>
      <c r="H2" s="4" t="s">
        <v>154</v>
      </c>
      <c r="I2" s="4">
        <v>1</v>
      </c>
      <c r="J2" s="19" t="s">
        <v>143</v>
      </c>
      <c r="K2" s="7" t="s">
        <v>4</v>
      </c>
      <c r="L2" s="7" t="s">
        <v>5</v>
      </c>
      <c r="M2" s="5">
        <v>6.7200000000000006</v>
      </c>
      <c r="N2" s="5">
        <v>0.26999999999999991</v>
      </c>
      <c r="O2" s="21">
        <v>25.1</v>
      </c>
      <c r="P2" s="5">
        <v>25</v>
      </c>
      <c r="Q2" s="5">
        <v>403</v>
      </c>
      <c r="R2" s="5">
        <v>0.10761000000000003</v>
      </c>
      <c r="S2" s="5">
        <v>7.1801109999999992</v>
      </c>
      <c r="T2" s="5">
        <v>1.6336835999999999</v>
      </c>
      <c r="U2" s="5">
        <v>2.052</v>
      </c>
      <c r="V2" s="5">
        <v>1.9779999999999998</v>
      </c>
      <c r="W2" s="5">
        <v>24.7</v>
      </c>
      <c r="X2" s="5"/>
      <c r="Y2" s="5">
        <v>1.5896000000000001</v>
      </c>
      <c r="Z2" s="15">
        <v>2775.8960000000002</v>
      </c>
      <c r="AA2" s="22">
        <v>24.7</v>
      </c>
      <c r="AB2" s="23">
        <f t="shared" ref="AB2:AB23" si="1">Z2*(100-AA2)/(100-15)</f>
        <v>2459.1172799999999</v>
      </c>
      <c r="AC2" s="24">
        <f>AB2/G2</f>
        <v>2.032337476056</v>
      </c>
      <c r="AD2" s="24">
        <f>AB2*302.5/G2</f>
        <v>614.78208650693989</v>
      </c>
      <c r="AE2" s="21">
        <f t="shared" ref="AE2:AE9" si="2">9.14-(0.109*O2)+(0.02*Q2)</f>
        <v>14.464100000000002</v>
      </c>
      <c r="AF2" s="21">
        <v>13</v>
      </c>
      <c r="AG2" s="25">
        <f t="shared" ref="AG2:AG9" si="3">IF(AE2&lt;AF2, AE2*G2/302.5, AF2*G2/302.5)</f>
        <v>51.999766001052997</v>
      </c>
      <c r="AH2" s="5">
        <v>0.33</v>
      </c>
      <c r="AI2" s="7">
        <v>11</v>
      </c>
      <c r="AJ2" s="5">
        <v>11</v>
      </c>
      <c r="AK2" s="5">
        <v>15</v>
      </c>
      <c r="AL2" s="5">
        <f>AK2*AH2</f>
        <v>4.95</v>
      </c>
      <c r="AM2" s="5">
        <f>AL2*AJ2</f>
        <v>54.45</v>
      </c>
      <c r="AN2" s="5">
        <v>3</v>
      </c>
      <c r="AO2" s="5">
        <v>20</v>
      </c>
      <c r="AP2" s="5">
        <v>0.46</v>
      </c>
      <c r="AQ2" s="5">
        <f>AN2*AO2*AP2</f>
        <v>27.6</v>
      </c>
      <c r="AR2" s="5">
        <f>AM2+AQ2</f>
        <v>82.050000000000011</v>
      </c>
      <c r="AS2" s="25">
        <f t="shared" ref="AS2:AS21" si="4">AR2*302.5/G2</f>
        <v>20.512592306250003</v>
      </c>
    </row>
    <row r="3" spans="1:45" x14ac:dyDescent="0.3">
      <c r="A3" s="7" t="s">
        <v>0</v>
      </c>
      <c r="B3" s="7">
        <v>2025</v>
      </c>
      <c r="C3" s="7" t="s">
        <v>6</v>
      </c>
      <c r="D3" s="5" t="s">
        <v>7</v>
      </c>
      <c r="E3" s="8" t="s">
        <v>3</v>
      </c>
      <c r="F3" s="4">
        <v>4000</v>
      </c>
      <c r="G3" s="4">
        <f t="shared" si="0"/>
        <v>1209.9945550245025</v>
      </c>
      <c r="H3" s="4" t="s">
        <v>154</v>
      </c>
      <c r="I3" s="4">
        <v>1</v>
      </c>
      <c r="J3" s="19" t="s">
        <v>143</v>
      </c>
      <c r="K3" s="7" t="s">
        <v>4</v>
      </c>
      <c r="L3" s="7" t="s">
        <v>5</v>
      </c>
      <c r="M3" s="5">
        <v>6.92</v>
      </c>
      <c r="N3" s="5">
        <v>0.3</v>
      </c>
      <c r="O3" s="5">
        <v>21.5</v>
      </c>
      <c r="P3" s="5">
        <v>18.399999999999999</v>
      </c>
      <c r="Q3" s="5">
        <v>361.5</v>
      </c>
      <c r="R3" s="5">
        <v>0.14866499999999999</v>
      </c>
      <c r="S3" s="5">
        <v>7.3817070000000005</v>
      </c>
      <c r="T3" s="5">
        <v>1.6460226000000002</v>
      </c>
      <c r="U3" s="5">
        <v>2.214</v>
      </c>
      <c r="V3" s="5">
        <v>2.0489999999999999</v>
      </c>
      <c r="W3" s="5">
        <v>24.263333332999999</v>
      </c>
      <c r="X3" s="5"/>
      <c r="Y3" s="5">
        <v>1.9521000000000002</v>
      </c>
      <c r="Z3" s="15">
        <v>3189.5210000000002</v>
      </c>
      <c r="AA3" s="26">
        <v>24.26</v>
      </c>
      <c r="AB3" s="23">
        <f t="shared" si="1"/>
        <v>2842.0508298823529</v>
      </c>
      <c r="AC3" s="24">
        <f t="shared" ref="AC3:AC35" si="5">AB3/G3</f>
        <v>2.3488129083562703</v>
      </c>
      <c r="AD3" s="24">
        <f t="shared" ref="AD3:AD35" si="6">AB3*302.5/G3</f>
        <v>710.51590477777177</v>
      </c>
      <c r="AE3" s="21">
        <f t="shared" si="2"/>
        <v>14.0265</v>
      </c>
      <c r="AF3" s="21">
        <v>13</v>
      </c>
      <c r="AG3" s="25">
        <f t="shared" si="3"/>
        <v>51.999766001052997</v>
      </c>
      <c r="AH3" s="5">
        <v>0.33</v>
      </c>
      <c r="AI3" s="7">
        <v>11</v>
      </c>
      <c r="AJ3" s="5">
        <v>11</v>
      </c>
      <c r="AK3" s="5">
        <v>15</v>
      </c>
      <c r="AL3" s="5">
        <f t="shared" ref="AL3:AL9" si="7">AK3*AH3</f>
        <v>4.95</v>
      </c>
      <c r="AM3" s="5">
        <f t="shared" ref="AM3:AM9" si="8">AL3*AJ3</f>
        <v>54.45</v>
      </c>
      <c r="AN3" s="5">
        <v>3</v>
      </c>
      <c r="AO3" s="5">
        <v>20</v>
      </c>
      <c r="AP3" s="5">
        <v>0.46</v>
      </c>
      <c r="AQ3" s="5">
        <f t="shared" ref="AQ3:AQ9" si="9">AN3*AO3*AP3</f>
        <v>27.6</v>
      </c>
      <c r="AR3" s="5">
        <f t="shared" ref="AR3:AR9" si="10">AM3+AQ3</f>
        <v>82.050000000000011</v>
      </c>
      <c r="AS3" s="25">
        <f t="shared" si="4"/>
        <v>20.512592306250003</v>
      </c>
    </row>
    <row r="4" spans="1:45" x14ac:dyDescent="0.3">
      <c r="A4" s="7" t="s">
        <v>0</v>
      </c>
      <c r="B4" s="7">
        <v>2025</v>
      </c>
      <c r="C4" s="7" t="s">
        <v>8</v>
      </c>
      <c r="D4" s="5" t="s">
        <v>9</v>
      </c>
      <c r="E4" s="8" t="s">
        <v>3</v>
      </c>
      <c r="F4" s="4">
        <v>4000</v>
      </c>
      <c r="G4" s="4">
        <f t="shared" si="0"/>
        <v>1209.9945550245025</v>
      </c>
      <c r="H4" s="4" t="s">
        <v>154</v>
      </c>
      <c r="I4" s="4">
        <v>2</v>
      </c>
      <c r="J4" s="19" t="s">
        <v>143</v>
      </c>
      <c r="K4" s="7" t="s">
        <v>4</v>
      </c>
      <c r="L4" s="7" t="s">
        <v>5</v>
      </c>
      <c r="M4" s="5">
        <v>7.08</v>
      </c>
      <c r="N4" s="5">
        <v>0.3</v>
      </c>
      <c r="O4" s="5">
        <v>23.2</v>
      </c>
      <c r="P4" s="5">
        <v>26.4</v>
      </c>
      <c r="Q4" s="5">
        <v>388.4</v>
      </c>
      <c r="R4" s="5">
        <v>0.13871999999999998</v>
      </c>
      <c r="S4" s="5">
        <v>7.7125439999999994</v>
      </c>
      <c r="T4" s="5">
        <v>1.9396907999999999</v>
      </c>
      <c r="U4" s="5">
        <v>1.95</v>
      </c>
      <c r="V4" s="5">
        <v>1.796</v>
      </c>
      <c r="W4" s="5">
        <v>23.906666666</v>
      </c>
      <c r="X4" s="5"/>
      <c r="Y4" s="5">
        <v>1.7538</v>
      </c>
      <c r="Z4" s="15">
        <v>2688.7689999999998</v>
      </c>
      <c r="AA4" s="26">
        <v>23.91</v>
      </c>
      <c r="AB4" s="23">
        <f t="shared" si="1"/>
        <v>2406.9227436470587</v>
      </c>
      <c r="AC4" s="24">
        <f t="shared" si="5"/>
        <v>1.9892013014871115</v>
      </c>
      <c r="AD4" s="24">
        <f t="shared" si="6"/>
        <v>601.73339369985126</v>
      </c>
      <c r="AE4" s="21">
        <f t="shared" si="2"/>
        <v>14.379200000000001</v>
      </c>
      <c r="AF4" s="21">
        <v>13</v>
      </c>
      <c r="AG4" s="25">
        <f t="shared" si="3"/>
        <v>51.999766001052997</v>
      </c>
      <c r="AH4" s="5">
        <v>0.33</v>
      </c>
      <c r="AI4" s="7">
        <v>11</v>
      </c>
      <c r="AJ4" s="5">
        <v>11</v>
      </c>
      <c r="AK4" s="5">
        <v>15</v>
      </c>
      <c r="AL4" s="5">
        <f t="shared" si="7"/>
        <v>4.95</v>
      </c>
      <c r="AM4" s="5">
        <f t="shared" si="8"/>
        <v>54.45</v>
      </c>
      <c r="AN4" s="5">
        <v>3</v>
      </c>
      <c r="AO4" s="5">
        <v>20</v>
      </c>
      <c r="AP4" s="5">
        <v>0.46</v>
      </c>
      <c r="AQ4" s="5">
        <f t="shared" si="9"/>
        <v>27.6</v>
      </c>
      <c r="AR4" s="5">
        <f t="shared" si="10"/>
        <v>82.050000000000011</v>
      </c>
      <c r="AS4" s="25">
        <f t="shared" si="4"/>
        <v>20.512592306250003</v>
      </c>
    </row>
    <row r="5" spans="1:45" x14ac:dyDescent="0.3">
      <c r="A5" s="7" t="s">
        <v>0</v>
      </c>
      <c r="B5" s="7">
        <v>2025</v>
      </c>
      <c r="C5" s="7" t="s">
        <v>10</v>
      </c>
      <c r="D5" s="5" t="s">
        <v>11</v>
      </c>
      <c r="E5" s="8" t="s">
        <v>3</v>
      </c>
      <c r="F5" s="4">
        <v>3980</v>
      </c>
      <c r="G5" s="4">
        <f t="shared" si="0"/>
        <v>1203.9445822493799</v>
      </c>
      <c r="H5" s="4" t="s">
        <v>154</v>
      </c>
      <c r="I5" s="4">
        <v>2</v>
      </c>
      <c r="J5" s="19" t="s">
        <v>143</v>
      </c>
      <c r="K5" s="7" t="s">
        <v>4</v>
      </c>
      <c r="L5" s="7" t="s">
        <v>5</v>
      </c>
      <c r="M5" s="5">
        <v>7.1399999999999988</v>
      </c>
      <c r="N5" s="5">
        <v>0.34</v>
      </c>
      <c r="O5" s="5">
        <v>25</v>
      </c>
      <c r="P5" s="5">
        <v>37.200000000000003</v>
      </c>
      <c r="Q5" s="5">
        <v>470.6</v>
      </c>
      <c r="R5" s="5">
        <v>0.15861</v>
      </c>
      <c r="S5" s="5">
        <v>8.5788080000000004</v>
      </c>
      <c r="T5" s="5">
        <v>2.1914064</v>
      </c>
      <c r="U5" s="5">
        <v>1.8519999999999999</v>
      </c>
      <c r="V5" s="5">
        <v>1.8219999999999998</v>
      </c>
      <c r="W5" s="5">
        <v>23.833333333999995</v>
      </c>
      <c r="X5" s="5"/>
      <c r="Y5" s="5">
        <v>1.8239999999999998</v>
      </c>
      <c r="Z5" s="15">
        <v>2959.12</v>
      </c>
      <c r="AA5" s="26">
        <v>23.83</v>
      </c>
      <c r="AB5" s="23">
        <f t="shared" si="1"/>
        <v>2651.7196517647058</v>
      </c>
      <c r="AC5" s="24">
        <f t="shared" si="5"/>
        <v>2.2025263378903932</v>
      </c>
      <c r="AD5" s="24">
        <f t="shared" si="6"/>
        <v>666.26421721184397</v>
      </c>
      <c r="AE5" s="21">
        <f t="shared" si="2"/>
        <v>15.827000000000002</v>
      </c>
      <c r="AF5" s="21">
        <v>13</v>
      </c>
      <c r="AG5" s="25">
        <f t="shared" si="3"/>
        <v>51.739767171047731</v>
      </c>
      <c r="AH5" s="5">
        <v>0.33</v>
      </c>
      <c r="AI5" s="7">
        <v>10</v>
      </c>
      <c r="AJ5" s="5">
        <v>10</v>
      </c>
      <c r="AK5" s="5">
        <v>15</v>
      </c>
      <c r="AL5" s="5">
        <f t="shared" si="7"/>
        <v>4.95</v>
      </c>
      <c r="AM5" s="5">
        <f t="shared" si="8"/>
        <v>49.5</v>
      </c>
      <c r="AN5" s="5">
        <v>3</v>
      </c>
      <c r="AO5" s="5">
        <v>20</v>
      </c>
      <c r="AP5" s="5">
        <v>0.46</v>
      </c>
      <c r="AQ5" s="5">
        <f t="shared" si="9"/>
        <v>27.6</v>
      </c>
      <c r="AR5" s="5">
        <f t="shared" si="10"/>
        <v>77.099999999999994</v>
      </c>
      <c r="AS5" s="25">
        <f t="shared" si="4"/>
        <v>19.371946469849245</v>
      </c>
    </row>
    <row r="6" spans="1:45" x14ac:dyDescent="0.3">
      <c r="A6" s="7" t="s">
        <v>0</v>
      </c>
      <c r="B6" s="7">
        <v>2025</v>
      </c>
      <c r="C6" s="7" t="s">
        <v>12</v>
      </c>
      <c r="D6" s="5" t="s">
        <v>13</v>
      </c>
      <c r="E6" s="8" t="s">
        <v>3</v>
      </c>
      <c r="F6" s="4">
        <v>4000</v>
      </c>
      <c r="G6" s="4">
        <f t="shared" si="0"/>
        <v>1209.9945550245025</v>
      </c>
      <c r="H6" s="4" t="s">
        <v>154</v>
      </c>
      <c r="I6" s="4">
        <v>2</v>
      </c>
      <c r="J6" s="19" t="s">
        <v>143</v>
      </c>
      <c r="K6" s="7" t="s">
        <v>4</v>
      </c>
      <c r="L6" s="7" t="s">
        <v>5</v>
      </c>
      <c r="M6" s="5">
        <v>6.6599999999999993</v>
      </c>
      <c r="N6" s="5">
        <v>0.32</v>
      </c>
      <c r="O6" s="5">
        <v>22</v>
      </c>
      <c r="P6" s="5">
        <v>40</v>
      </c>
      <c r="Q6" s="5">
        <v>406.8</v>
      </c>
      <c r="R6" s="5">
        <v>0.13362000000000002</v>
      </c>
      <c r="S6" s="5">
        <v>7.6606480000000001</v>
      </c>
      <c r="T6" s="5">
        <v>1.9298195999999996</v>
      </c>
      <c r="U6" s="5">
        <v>2.0259999999999998</v>
      </c>
      <c r="V6" s="5">
        <v>1.8960000000000001</v>
      </c>
      <c r="W6" s="5">
        <v>23.999999998</v>
      </c>
      <c r="X6" s="5"/>
      <c r="Y6" s="5">
        <v>1.6042000000000001</v>
      </c>
      <c r="Z6" s="15">
        <v>2798.0210000000002</v>
      </c>
      <c r="AA6" s="26">
        <v>24</v>
      </c>
      <c r="AB6" s="23">
        <f t="shared" si="1"/>
        <v>2501.7599529411768</v>
      </c>
      <c r="AC6" s="24">
        <f t="shared" si="5"/>
        <v>2.0675795131082353</v>
      </c>
      <c r="AD6" s="24">
        <f t="shared" si="6"/>
        <v>625.44280271524121</v>
      </c>
      <c r="AE6" s="21">
        <f t="shared" si="2"/>
        <v>14.878000000000002</v>
      </c>
      <c r="AF6" s="21">
        <v>13</v>
      </c>
      <c r="AG6" s="25">
        <f t="shared" si="3"/>
        <v>51.999766001052997</v>
      </c>
      <c r="AH6" s="5">
        <v>0.33</v>
      </c>
      <c r="AI6" s="7">
        <v>11</v>
      </c>
      <c r="AJ6" s="5">
        <v>11</v>
      </c>
      <c r="AK6" s="5">
        <v>15</v>
      </c>
      <c r="AL6" s="5">
        <f t="shared" si="7"/>
        <v>4.95</v>
      </c>
      <c r="AM6" s="5">
        <f t="shared" si="8"/>
        <v>54.45</v>
      </c>
      <c r="AN6" s="5">
        <v>3</v>
      </c>
      <c r="AO6" s="5">
        <v>20</v>
      </c>
      <c r="AP6" s="5">
        <v>0.46</v>
      </c>
      <c r="AQ6" s="5">
        <f t="shared" si="9"/>
        <v>27.6</v>
      </c>
      <c r="AR6" s="5">
        <f t="shared" si="10"/>
        <v>82.050000000000011</v>
      </c>
      <c r="AS6" s="25">
        <f t="shared" si="4"/>
        <v>20.512592306250003</v>
      </c>
    </row>
    <row r="7" spans="1:45" x14ac:dyDescent="0.3">
      <c r="A7" s="7" t="s">
        <v>0</v>
      </c>
      <c r="B7" s="7">
        <v>2025</v>
      </c>
      <c r="C7" s="7" t="s">
        <v>14</v>
      </c>
      <c r="D7" s="5" t="s">
        <v>15</v>
      </c>
      <c r="E7" s="8" t="s">
        <v>3</v>
      </c>
      <c r="F7" s="4">
        <v>4000</v>
      </c>
      <c r="G7" s="4">
        <f t="shared" si="0"/>
        <v>1209.9945550245025</v>
      </c>
      <c r="H7" s="4" t="s">
        <v>154</v>
      </c>
      <c r="I7" s="4">
        <v>2</v>
      </c>
      <c r="J7" s="19" t="s">
        <v>143</v>
      </c>
      <c r="K7" s="7" t="s">
        <v>4</v>
      </c>
      <c r="L7" s="7" t="s">
        <v>5</v>
      </c>
      <c r="M7" s="5">
        <v>6.7200000000000006</v>
      </c>
      <c r="N7" s="5">
        <v>0.28000000000000003</v>
      </c>
      <c r="O7" s="5">
        <v>25.4</v>
      </c>
      <c r="P7" s="5">
        <v>21.6</v>
      </c>
      <c r="Q7" s="5">
        <v>391.6</v>
      </c>
      <c r="R7" s="5">
        <v>0.16728000000000001</v>
      </c>
      <c r="S7" s="5">
        <v>7.7035619999999998</v>
      </c>
      <c r="T7" s="5">
        <v>1.9183031999999998</v>
      </c>
      <c r="U7" s="5">
        <v>2.0699999999999998</v>
      </c>
      <c r="V7" s="5">
        <v>2.04</v>
      </c>
      <c r="W7" s="5">
        <v>24.326666666000001</v>
      </c>
      <c r="X7" s="5"/>
      <c r="Y7" s="5">
        <v>1.8839999999999999</v>
      </c>
      <c r="Z7" s="15">
        <v>3029.42</v>
      </c>
      <c r="AA7" s="26">
        <v>24.3</v>
      </c>
      <c r="AB7" s="23">
        <f t="shared" si="1"/>
        <v>2697.9658117647059</v>
      </c>
      <c r="AC7" s="24">
        <f t="shared" si="5"/>
        <v>2.2297338451329409</v>
      </c>
      <c r="AD7" s="24">
        <f t="shared" si="6"/>
        <v>674.49448815271467</v>
      </c>
      <c r="AE7" s="21">
        <f t="shared" si="2"/>
        <v>14.203400000000002</v>
      </c>
      <c r="AF7" s="21">
        <v>13</v>
      </c>
      <c r="AG7" s="25">
        <f t="shared" si="3"/>
        <v>51.999766001052997</v>
      </c>
      <c r="AH7" s="5">
        <v>0.33</v>
      </c>
      <c r="AI7" s="7">
        <v>11</v>
      </c>
      <c r="AJ7" s="5">
        <v>11</v>
      </c>
      <c r="AK7" s="5">
        <v>15</v>
      </c>
      <c r="AL7" s="5">
        <f t="shared" si="7"/>
        <v>4.95</v>
      </c>
      <c r="AM7" s="5">
        <f t="shared" si="8"/>
        <v>54.45</v>
      </c>
      <c r="AN7" s="5">
        <v>3</v>
      </c>
      <c r="AO7" s="5">
        <v>20</v>
      </c>
      <c r="AP7" s="5">
        <v>0.46</v>
      </c>
      <c r="AQ7" s="5">
        <f t="shared" si="9"/>
        <v>27.6</v>
      </c>
      <c r="AR7" s="5">
        <f t="shared" si="10"/>
        <v>82.050000000000011</v>
      </c>
      <c r="AS7" s="25">
        <f t="shared" si="4"/>
        <v>20.512592306250003</v>
      </c>
    </row>
    <row r="8" spans="1:45" x14ac:dyDescent="0.3">
      <c r="A8" s="7" t="s">
        <v>0</v>
      </c>
      <c r="B8" s="7">
        <v>2025</v>
      </c>
      <c r="C8" s="7" t="s">
        <v>16</v>
      </c>
      <c r="D8" s="9" t="s">
        <v>17</v>
      </c>
      <c r="E8" s="8" t="s">
        <v>18</v>
      </c>
      <c r="F8" s="4">
        <v>4000</v>
      </c>
      <c r="G8" s="4">
        <f t="shared" si="0"/>
        <v>1209.9945550245025</v>
      </c>
      <c r="H8" s="4" t="s">
        <v>154</v>
      </c>
      <c r="I8" s="4">
        <v>3</v>
      </c>
      <c r="J8" s="19" t="s">
        <v>148</v>
      </c>
      <c r="K8" s="7" t="s">
        <v>4</v>
      </c>
      <c r="L8" s="7" t="s">
        <v>19</v>
      </c>
      <c r="M8" s="5">
        <v>6.3</v>
      </c>
      <c r="N8" s="5">
        <v>0.2</v>
      </c>
      <c r="O8" s="5">
        <v>16</v>
      </c>
      <c r="P8" s="5">
        <v>12</v>
      </c>
      <c r="Q8" s="5">
        <v>180</v>
      </c>
      <c r="R8" s="5">
        <v>0.13515000000000002</v>
      </c>
      <c r="S8" s="5">
        <v>5.9031700000000003</v>
      </c>
      <c r="T8" s="5">
        <v>2.1634379999999998</v>
      </c>
      <c r="U8" s="5"/>
      <c r="V8" s="5"/>
      <c r="W8" s="5"/>
      <c r="X8" s="5"/>
      <c r="Y8" s="5"/>
      <c r="Z8" s="15">
        <v>2700</v>
      </c>
      <c r="AA8" s="27">
        <v>24.17</v>
      </c>
      <c r="AB8" s="23">
        <f t="shared" si="1"/>
        <v>2408.7176470588233</v>
      </c>
      <c r="AC8" s="24">
        <f t="shared" si="5"/>
        <v>1.9906846994117644</v>
      </c>
      <c r="AD8" s="24">
        <f t="shared" si="6"/>
        <v>602.1821215720588</v>
      </c>
      <c r="AE8" s="21">
        <f t="shared" si="2"/>
        <v>10.996</v>
      </c>
      <c r="AF8" s="21">
        <v>13</v>
      </c>
      <c r="AG8" s="25">
        <f t="shared" si="3"/>
        <v>43.983802072890676</v>
      </c>
      <c r="AH8" s="5">
        <v>0.22</v>
      </c>
      <c r="AI8" s="7">
        <v>10</v>
      </c>
      <c r="AJ8" s="5">
        <v>9</v>
      </c>
      <c r="AK8" s="5">
        <v>20</v>
      </c>
      <c r="AL8" s="5">
        <f t="shared" si="7"/>
        <v>4.4000000000000004</v>
      </c>
      <c r="AM8" s="5">
        <f t="shared" si="8"/>
        <v>39.6</v>
      </c>
      <c r="AN8" s="5">
        <v>2</v>
      </c>
      <c r="AO8" s="5">
        <v>20</v>
      </c>
      <c r="AP8" s="5">
        <v>0.46</v>
      </c>
      <c r="AQ8" s="5">
        <f t="shared" si="9"/>
        <v>18.400000000000002</v>
      </c>
      <c r="AR8" s="5">
        <f t="shared" si="10"/>
        <v>58</v>
      </c>
      <c r="AS8" s="25">
        <f t="shared" si="4"/>
        <v>14.500065249999999</v>
      </c>
    </row>
    <row r="9" spans="1:45" x14ac:dyDescent="0.3">
      <c r="A9" s="7" t="s">
        <v>0</v>
      </c>
      <c r="B9" s="7">
        <v>2025</v>
      </c>
      <c r="C9" s="7" t="s">
        <v>20</v>
      </c>
      <c r="D9" s="10" t="s">
        <v>21</v>
      </c>
      <c r="E9" s="8" t="s">
        <v>18</v>
      </c>
      <c r="F9" s="4">
        <v>4000</v>
      </c>
      <c r="G9" s="4">
        <f t="shared" si="0"/>
        <v>1209.9945550245025</v>
      </c>
      <c r="H9" s="4" t="s">
        <v>154</v>
      </c>
      <c r="I9" s="4">
        <v>3</v>
      </c>
      <c r="J9" s="19" t="s">
        <v>149</v>
      </c>
      <c r="K9" s="7" t="s">
        <v>4</v>
      </c>
      <c r="L9" s="7" t="s">
        <v>19</v>
      </c>
      <c r="M9" s="5">
        <v>6.1</v>
      </c>
      <c r="N9" s="5">
        <v>0.3</v>
      </c>
      <c r="O9" s="5">
        <v>33</v>
      </c>
      <c r="P9" s="5">
        <v>30</v>
      </c>
      <c r="Q9" s="5">
        <v>173</v>
      </c>
      <c r="R9" s="5">
        <v>0.10965</v>
      </c>
      <c r="S9" s="5">
        <v>6.1626500000000002</v>
      </c>
      <c r="T9" s="5">
        <v>2.2127940000000001</v>
      </c>
      <c r="U9" s="5"/>
      <c r="V9" s="5"/>
      <c r="W9" s="5"/>
      <c r="X9" s="5"/>
      <c r="Y9" s="5"/>
      <c r="Z9" s="15">
        <v>2950</v>
      </c>
      <c r="AA9" s="27">
        <v>24.17</v>
      </c>
      <c r="AB9" s="23">
        <f t="shared" si="1"/>
        <v>2631.7470588235292</v>
      </c>
      <c r="AC9" s="24">
        <f t="shared" si="5"/>
        <v>2.1750073567647057</v>
      </c>
      <c r="AD9" s="24">
        <f t="shared" si="6"/>
        <v>657.93972542132349</v>
      </c>
      <c r="AE9" s="21">
        <f t="shared" si="2"/>
        <v>9.0030000000000001</v>
      </c>
      <c r="AF9" s="21">
        <v>13</v>
      </c>
      <c r="AG9" s="25">
        <f t="shared" si="3"/>
        <v>36.011837946729237</v>
      </c>
      <c r="AH9" s="5">
        <v>0.22</v>
      </c>
      <c r="AI9" s="7">
        <v>8</v>
      </c>
      <c r="AJ9" s="5">
        <v>8</v>
      </c>
      <c r="AK9" s="5">
        <v>20</v>
      </c>
      <c r="AL9" s="5">
        <f t="shared" si="7"/>
        <v>4.4000000000000004</v>
      </c>
      <c r="AM9" s="5">
        <f t="shared" si="8"/>
        <v>35.200000000000003</v>
      </c>
      <c r="AN9" s="5">
        <v>2</v>
      </c>
      <c r="AO9" s="5">
        <v>20</v>
      </c>
      <c r="AP9" s="5">
        <v>0.46</v>
      </c>
      <c r="AQ9" s="5">
        <f t="shared" si="9"/>
        <v>18.400000000000002</v>
      </c>
      <c r="AR9" s="5">
        <f t="shared" si="10"/>
        <v>53.600000000000009</v>
      </c>
      <c r="AS9" s="25">
        <f t="shared" si="4"/>
        <v>13.400060300000002</v>
      </c>
    </row>
    <row r="10" spans="1:45" x14ac:dyDescent="0.3">
      <c r="A10" s="7" t="s">
        <v>23</v>
      </c>
      <c r="B10" s="7">
        <v>2025</v>
      </c>
      <c r="C10" s="7" t="s">
        <v>24</v>
      </c>
      <c r="D10" s="5" t="s">
        <v>25</v>
      </c>
      <c r="E10" s="8" t="s">
        <v>26</v>
      </c>
      <c r="F10" s="4">
        <v>5500</v>
      </c>
      <c r="G10" s="4">
        <f t="shared" si="0"/>
        <v>1663.7425131586908</v>
      </c>
      <c r="H10" s="4" t="s">
        <v>154</v>
      </c>
      <c r="I10" s="4">
        <v>4</v>
      </c>
      <c r="J10" s="19" t="s">
        <v>146</v>
      </c>
      <c r="K10" s="7" t="s">
        <v>27</v>
      </c>
      <c r="L10" s="7" t="s">
        <v>28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15">
        <v>4150</v>
      </c>
      <c r="AA10" s="27">
        <v>24.17</v>
      </c>
      <c r="AB10" s="23">
        <f t="shared" si="1"/>
        <v>3702.2882352941178</v>
      </c>
      <c r="AC10" s="24">
        <f t="shared" si="5"/>
        <v>2.2252771724064173</v>
      </c>
      <c r="AD10" s="24">
        <f t="shared" si="6"/>
        <v>673.14634465294114</v>
      </c>
      <c r="AE10" s="21"/>
      <c r="AF10" s="21"/>
      <c r="AG10" s="2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25">
        <f t="shared" si="4"/>
        <v>0</v>
      </c>
    </row>
    <row r="11" spans="1:45" x14ac:dyDescent="0.3">
      <c r="A11" s="7" t="s">
        <v>23</v>
      </c>
      <c r="B11" s="7">
        <v>2025</v>
      </c>
      <c r="C11" s="7" t="s">
        <v>29</v>
      </c>
      <c r="D11" s="5" t="s">
        <v>30</v>
      </c>
      <c r="E11" s="8" t="s">
        <v>26</v>
      </c>
      <c r="F11" s="4">
        <v>4000</v>
      </c>
      <c r="G11" s="4">
        <f t="shared" si="0"/>
        <v>1209.9945550245025</v>
      </c>
      <c r="H11" s="4" t="s">
        <v>154</v>
      </c>
      <c r="I11" s="4">
        <v>4</v>
      </c>
      <c r="J11" s="19" t="s">
        <v>146</v>
      </c>
      <c r="K11" s="7" t="s">
        <v>27</v>
      </c>
      <c r="L11" s="7" t="s">
        <v>28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15">
        <v>2570</v>
      </c>
      <c r="AA11" s="27">
        <v>24.17</v>
      </c>
      <c r="AB11" s="23">
        <f t="shared" si="1"/>
        <v>2292.7423529411767</v>
      </c>
      <c r="AC11" s="24">
        <f t="shared" si="5"/>
        <v>1.8948369175882354</v>
      </c>
      <c r="AD11" s="24">
        <f t="shared" si="6"/>
        <v>573.18816757044112</v>
      </c>
      <c r="AE11" s="21"/>
      <c r="AF11" s="21"/>
      <c r="AG11" s="2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25">
        <f t="shared" si="4"/>
        <v>0</v>
      </c>
    </row>
    <row r="12" spans="1:45" x14ac:dyDescent="0.3">
      <c r="A12" s="7" t="s">
        <v>31</v>
      </c>
      <c r="B12" s="7">
        <v>2025</v>
      </c>
      <c r="C12" s="7" t="s">
        <v>32</v>
      </c>
      <c r="D12" s="5" t="s">
        <v>33</v>
      </c>
      <c r="E12" s="11" t="s">
        <v>34</v>
      </c>
      <c r="F12" s="4">
        <v>5155</v>
      </c>
      <c r="G12" s="4">
        <f t="shared" si="0"/>
        <v>1559.3804827878275</v>
      </c>
      <c r="H12" s="4" t="s">
        <v>154</v>
      </c>
      <c r="I12" s="4">
        <v>1</v>
      </c>
      <c r="J12" s="19" t="s">
        <v>143</v>
      </c>
      <c r="K12" s="7" t="s">
        <v>4</v>
      </c>
      <c r="L12" s="7" t="s">
        <v>35</v>
      </c>
      <c r="M12" s="5">
        <v>7.4375</v>
      </c>
      <c r="N12" s="5">
        <v>2.88625</v>
      </c>
      <c r="O12" s="5">
        <v>21.237499999999997</v>
      </c>
      <c r="P12" s="5">
        <v>53.625</v>
      </c>
      <c r="Q12" s="5">
        <v>319.625</v>
      </c>
      <c r="R12" s="5">
        <v>1.2775000000000001</v>
      </c>
      <c r="S12" s="5">
        <v>4.59375</v>
      </c>
      <c r="T12" s="5">
        <v>5.2662499999999994</v>
      </c>
      <c r="U12" s="5">
        <v>2.2687499999999998</v>
      </c>
      <c r="V12" s="5">
        <v>1.7037500000000001</v>
      </c>
      <c r="W12" s="5">
        <v>23.779166668750001</v>
      </c>
      <c r="X12" s="5"/>
      <c r="Y12" s="5">
        <v>2.4672499999999999</v>
      </c>
      <c r="Z12" s="5">
        <v>4860.7380000000003</v>
      </c>
      <c r="AA12" s="28">
        <v>23.8</v>
      </c>
      <c r="AB12" s="23">
        <f t="shared" si="1"/>
        <v>4357.508654117647</v>
      </c>
      <c r="AC12" s="24">
        <f t="shared" si="5"/>
        <v>2.7943845021885774</v>
      </c>
      <c r="AD12" s="24">
        <f t="shared" si="6"/>
        <v>845.30131191204475</v>
      </c>
      <c r="AE12" s="21">
        <f t="shared" ref="AE12:AE42" si="11">9.14-(0.109*O12)+(0.02*Q12)</f>
        <v>13.217612500000001</v>
      </c>
      <c r="AF12" s="21">
        <v>13</v>
      </c>
      <c r="AG12" s="25">
        <f t="shared" ref="AG12:AG42" si="12">IF(AE12&lt;AF12, AE12*G12/302.5, AF12*G12/302.5)</f>
        <v>67.014698433857049</v>
      </c>
      <c r="AH12" s="5">
        <v>0.28000000000000003</v>
      </c>
      <c r="AI12" s="7">
        <v>12</v>
      </c>
      <c r="AJ12" s="5">
        <v>12</v>
      </c>
      <c r="AK12" s="5">
        <v>20</v>
      </c>
      <c r="AL12" s="5">
        <f t="shared" ref="AL12:AL21" si="13">AK12*AH12</f>
        <v>5.6000000000000005</v>
      </c>
      <c r="AM12" s="5">
        <f t="shared" ref="AM12:AM21" si="14">AL12*AJ12</f>
        <v>67.2</v>
      </c>
      <c r="AN12" s="5">
        <v>3</v>
      </c>
      <c r="AO12" s="5">
        <v>20</v>
      </c>
      <c r="AP12" s="5">
        <v>0.28000000000000003</v>
      </c>
      <c r="AQ12" s="5">
        <f t="shared" ref="AQ12:AQ19" si="15">AN12*AO12*AP12</f>
        <v>16.8</v>
      </c>
      <c r="AR12" s="5">
        <f t="shared" ref="AR12:AR19" si="16">AM12+AQ12</f>
        <v>84</v>
      </c>
      <c r="AS12" s="25">
        <f t="shared" si="4"/>
        <v>16.294932686711931</v>
      </c>
    </row>
    <row r="13" spans="1:45" x14ac:dyDescent="0.3">
      <c r="A13" s="7" t="s">
        <v>31</v>
      </c>
      <c r="B13" s="7">
        <v>2025</v>
      </c>
      <c r="C13" s="7" t="s">
        <v>36</v>
      </c>
      <c r="D13" s="5" t="s">
        <v>37</v>
      </c>
      <c r="E13" s="11" t="s">
        <v>34</v>
      </c>
      <c r="F13" s="4">
        <v>4996</v>
      </c>
      <c r="G13" s="4">
        <f t="shared" si="0"/>
        <v>1511.2831992256035</v>
      </c>
      <c r="H13" s="4" t="s">
        <v>154</v>
      </c>
      <c r="I13" s="4">
        <v>1</v>
      </c>
      <c r="J13" s="19" t="s">
        <v>143</v>
      </c>
      <c r="K13" s="7" t="s">
        <v>4</v>
      </c>
      <c r="L13" s="7" t="s">
        <v>35</v>
      </c>
      <c r="M13" s="5">
        <v>7.5750000000000011</v>
      </c>
      <c r="N13" s="5">
        <v>2.3787499999999997</v>
      </c>
      <c r="O13" s="5">
        <v>19.3125</v>
      </c>
      <c r="P13" s="5">
        <v>56.75</v>
      </c>
      <c r="Q13" s="5">
        <v>405.75</v>
      </c>
      <c r="R13" s="5">
        <v>1.1074999999999999</v>
      </c>
      <c r="S13" s="5">
        <v>5.3362499999999997</v>
      </c>
      <c r="T13" s="5">
        <v>5.1325000000000003</v>
      </c>
      <c r="U13" s="5">
        <v>1.9762499999999998</v>
      </c>
      <c r="V13" s="5">
        <v>1.7250000000000001</v>
      </c>
      <c r="W13" s="5">
        <v>23.429166667499999</v>
      </c>
      <c r="X13" s="5"/>
      <c r="Y13" s="5">
        <v>2.5220000000000002</v>
      </c>
      <c r="Z13" s="5">
        <v>4811.1760000000004</v>
      </c>
      <c r="AA13" s="5">
        <v>23.4</v>
      </c>
      <c r="AB13" s="23">
        <f t="shared" si="1"/>
        <v>4335.7186070588232</v>
      </c>
      <c r="AC13" s="24">
        <f t="shared" si="5"/>
        <v>2.8688988333096592</v>
      </c>
      <c r="AD13" s="24">
        <f t="shared" si="6"/>
        <v>867.8418970761719</v>
      </c>
      <c r="AE13" s="21">
        <f t="shared" si="11"/>
        <v>15.1499375</v>
      </c>
      <c r="AF13" s="21">
        <v>13</v>
      </c>
      <c r="AG13" s="25">
        <f t="shared" si="12"/>
        <v>64.947707735315191</v>
      </c>
      <c r="AH13" s="5">
        <v>0.28000000000000003</v>
      </c>
      <c r="AI13" s="7">
        <v>12</v>
      </c>
      <c r="AJ13" s="5">
        <v>12</v>
      </c>
      <c r="AK13" s="5">
        <v>20</v>
      </c>
      <c r="AL13" s="5">
        <f t="shared" si="13"/>
        <v>5.6000000000000005</v>
      </c>
      <c r="AM13" s="5">
        <f t="shared" si="14"/>
        <v>67.2</v>
      </c>
      <c r="AN13" s="5">
        <v>3.4</v>
      </c>
      <c r="AO13" s="5">
        <v>20</v>
      </c>
      <c r="AP13" s="5">
        <v>0.28000000000000003</v>
      </c>
      <c r="AQ13" s="5">
        <f t="shared" si="15"/>
        <v>19.040000000000003</v>
      </c>
      <c r="AR13" s="5">
        <f t="shared" si="16"/>
        <v>86.240000000000009</v>
      </c>
      <c r="AS13" s="25">
        <f t="shared" si="4"/>
        <v>17.261887125700561</v>
      </c>
    </row>
    <row r="14" spans="1:45" x14ac:dyDescent="0.3">
      <c r="A14" s="7" t="s">
        <v>31</v>
      </c>
      <c r="B14" s="7">
        <v>2025</v>
      </c>
      <c r="C14" s="7" t="s">
        <v>38</v>
      </c>
      <c r="D14" s="5" t="s">
        <v>39</v>
      </c>
      <c r="E14" s="11" t="s">
        <v>40</v>
      </c>
      <c r="F14" s="4">
        <v>4911</v>
      </c>
      <c r="G14" s="4">
        <f t="shared" si="0"/>
        <v>1485.5708149313327</v>
      </c>
      <c r="H14" s="4" t="s">
        <v>154</v>
      </c>
      <c r="I14" s="4">
        <v>2</v>
      </c>
      <c r="J14" s="19" t="s">
        <v>142</v>
      </c>
      <c r="K14" s="7" t="s">
        <v>4</v>
      </c>
      <c r="L14" s="7" t="s">
        <v>35</v>
      </c>
      <c r="M14" s="5">
        <v>8.32</v>
      </c>
      <c r="N14" s="5">
        <v>1.6219999999999999</v>
      </c>
      <c r="O14" s="5">
        <v>12.860000000000003</v>
      </c>
      <c r="P14" s="5">
        <v>67.8</v>
      </c>
      <c r="Q14" s="5">
        <v>460</v>
      </c>
      <c r="R14" s="5">
        <v>1.1120000000000001</v>
      </c>
      <c r="S14" s="5">
        <v>5.0540000000000003</v>
      </c>
      <c r="T14" s="5">
        <v>5.1179999999999994</v>
      </c>
      <c r="U14" s="5">
        <v>3.008</v>
      </c>
      <c r="V14" s="5">
        <v>1.8640000000000001</v>
      </c>
      <c r="W14" s="5">
        <v>22.919999999999995</v>
      </c>
      <c r="X14" s="5"/>
      <c r="Y14" s="5">
        <v>2.6686000000000001</v>
      </c>
      <c r="Z14" s="5">
        <v>4654.3429999999998</v>
      </c>
      <c r="AA14" s="5">
        <v>22.9</v>
      </c>
      <c r="AB14" s="23">
        <f t="shared" si="1"/>
        <v>4221.7628858823527</v>
      </c>
      <c r="AC14" s="24">
        <f t="shared" si="5"/>
        <v>2.8418456013337168</v>
      </c>
      <c r="AD14" s="24">
        <f t="shared" si="6"/>
        <v>859.6582944034493</v>
      </c>
      <c r="AE14" s="21">
        <f t="shared" si="11"/>
        <v>16.93826</v>
      </c>
      <c r="AF14" s="21">
        <v>13</v>
      </c>
      <c r="AG14" s="25">
        <f t="shared" si="12"/>
        <v>63.842712707792813</v>
      </c>
      <c r="AH14" s="5">
        <v>0.18</v>
      </c>
      <c r="AI14" s="7">
        <v>18</v>
      </c>
      <c r="AJ14" s="5">
        <v>9</v>
      </c>
      <c r="AK14" s="5">
        <v>20</v>
      </c>
      <c r="AL14" s="5">
        <f t="shared" si="13"/>
        <v>3.5999999999999996</v>
      </c>
      <c r="AM14" s="5">
        <f t="shared" si="14"/>
        <v>32.4</v>
      </c>
      <c r="AN14" s="5">
        <v>1</v>
      </c>
      <c r="AO14" s="5">
        <v>20</v>
      </c>
      <c r="AP14" s="5">
        <v>0.28000000000000003</v>
      </c>
      <c r="AQ14" s="5">
        <f t="shared" si="15"/>
        <v>5.6000000000000005</v>
      </c>
      <c r="AR14" s="5">
        <f t="shared" si="16"/>
        <v>38</v>
      </c>
      <c r="AS14" s="25">
        <f t="shared" si="4"/>
        <v>7.7377664426796988</v>
      </c>
    </row>
    <row r="15" spans="1:45" x14ac:dyDescent="0.3">
      <c r="A15" s="7" t="s">
        <v>31</v>
      </c>
      <c r="B15" s="7">
        <v>2025</v>
      </c>
      <c r="C15" s="7" t="s">
        <v>41</v>
      </c>
      <c r="D15" s="5" t="s">
        <v>42</v>
      </c>
      <c r="E15" s="11" t="s">
        <v>40</v>
      </c>
      <c r="F15" s="4">
        <v>4929</v>
      </c>
      <c r="G15" s="4">
        <f>F15/3.3058</f>
        <v>1491.0157904289431</v>
      </c>
      <c r="H15" s="4" t="s">
        <v>154</v>
      </c>
      <c r="I15" s="4">
        <v>3</v>
      </c>
      <c r="J15" s="19" t="s">
        <v>148</v>
      </c>
      <c r="K15" s="7" t="s">
        <v>4</v>
      </c>
      <c r="L15" s="7" t="s">
        <v>35</v>
      </c>
      <c r="M15" s="5">
        <v>8.1</v>
      </c>
      <c r="N15" s="5">
        <v>2.02</v>
      </c>
      <c r="O15" s="5">
        <v>18.2</v>
      </c>
      <c r="P15" s="5">
        <v>94</v>
      </c>
      <c r="Q15" s="5">
        <v>409</v>
      </c>
      <c r="R15" s="5">
        <v>1.31</v>
      </c>
      <c r="S15" s="5">
        <v>5.73</v>
      </c>
      <c r="T15" s="5">
        <v>5.1100000000000003</v>
      </c>
      <c r="U15" s="5"/>
      <c r="V15" s="5"/>
      <c r="W15" s="5"/>
      <c r="X15" s="5"/>
      <c r="Y15" s="5"/>
      <c r="Z15" s="5">
        <v>5070</v>
      </c>
      <c r="AA15" s="5">
        <v>22.9</v>
      </c>
      <c r="AB15" s="23">
        <f t="shared" si="1"/>
        <v>4598.7882352941178</v>
      </c>
      <c r="AC15" s="24">
        <f t="shared" si="5"/>
        <v>3.0843323490029002</v>
      </c>
      <c r="AD15" s="24">
        <f t="shared" si="6"/>
        <v>933.0105355733773</v>
      </c>
      <c r="AE15" s="21">
        <f t="shared" si="11"/>
        <v>15.3362</v>
      </c>
      <c r="AF15" s="21">
        <v>13</v>
      </c>
      <c r="AG15" s="25">
        <f t="shared" si="12"/>
        <v>64.076711654797549</v>
      </c>
      <c r="AH15" s="5">
        <v>0.18</v>
      </c>
      <c r="AI15" s="7">
        <v>18</v>
      </c>
      <c r="AJ15" s="5">
        <v>12</v>
      </c>
      <c r="AK15" s="5">
        <v>20</v>
      </c>
      <c r="AL15" s="5">
        <f t="shared" si="13"/>
        <v>3.5999999999999996</v>
      </c>
      <c r="AM15" s="5">
        <f t="shared" si="14"/>
        <v>43.199999999999996</v>
      </c>
      <c r="AN15" s="5">
        <v>0</v>
      </c>
      <c r="AO15" s="5">
        <v>20</v>
      </c>
      <c r="AP15" s="5">
        <v>0.28000000000000003</v>
      </c>
      <c r="AQ15" s="5">
        <f t="shared" si="15"/>
        <v>0</v>
      </c>
      <c r="AR15" s="5">
        <f t="shared" si="16"/>
        <v>43.199999999999996</v>
      </c>
      <c r="AS15" s="25">
        <f t="shared" si="4"/>
        <v>8.7644947048082766</v>
      </c>
    </row>
    <row r="16" spans="1:45" x14ac:dyDescent="0.3">
      <c r="A16" s="7" t="s">
        <v>31</v>
      </c>
      <c r="B16" s="7">
        <v>2025</v>
      </c>
      <c r="C16" s="7" t="s">
        <v>43</v>
      </c>
      <c r="D16" s="5" t="s">
        <v>44</v>
      </c>
      <c r="E16" s="7" t="s">
        <v>45</v>
      </c>
      <c r="F16" s="4">
        <v>4917</v>
      </c>
      <c r="G16" s="4">
        <f t="shared" si="0"/>
        <v>1487.3858067638696</v>
      </c>
      <c r="H16" s="4" t="s">
        <v>154</v>
      </c>
      <c r="I16" s="4">
        <v>2</v>
      </c>
      <c r="J16" s="19" t="s">
        <v>143</v>
      </c>
      <c r="K16" s="7" t="s">
        <v>4</v>
      </c>
      <c r="L16" s="7" t="s">
        <v>35</v>
      </c>
      <c r="M16" s="5">
        <v>6.8</v>
      </c>
      <c r="N16" s="5">
        <v>4.8120000000000003</v>
      </c>
      <c r="O16" s="5">
        <v>22.140000000000004</v>
      </c>
      <c r="P16" s="5">
        <v>38.799999999999997</v>
      </c>
      <c r="Q16" s="5">
        <v>522.79999999999995</v>
      </c>
      <c r="R16" s="5">
        <v>0.83399999999999996</v>
      </c>
      <c r="S16" s="5">
        <v>4.4260000000000002</v>
      </c>
      <c r="T16" s="5">
        <v>3.3920000000000003</v>
      </c>
      <c r="U16" s="5">
        <v>2.4820000000000002</v>
      </c>
      <c r="V16" s="5">
        <v>2.0859999999999999</v>
      </c>
      <c r="W16" s="5">
        <v>23.006666664000001</v>
      </c>
      <c r="X16" s="5"/>
      <c r="Y16" s="5">
        <v>2.3647999999999998</v>
      </c>
      <c r="Z16" s="5">
        <v>4632.8239999999996</v>
      </c>
      <c r="AA16" s="5">
        <v>23</v>
      </c>
      <c r="AB16" s="23">
        <f t="shared" si="1"/>
        <v>4196.7935058823523</v>
      </c>
      <c r="AC16" s="24">
        <f t="shared" si="5"/>
        <v>2.8215903949045922</v>
      </c>
      <c r="AD16" s="24">
        <f t="shared" si="6"/>
        <v>853.53109445863913</v>
      </c>
      <c r="AE16" s="21">
        <f t="shared" si="11"/>
        <v>17.182739999999999</v>
      </c>
      <c r="AF16" s="21">
        <v>13</v>
      </c>
      <c r="AG16" s="25">
        <f t="shared" si="12"/>
        <v>63.920712356794397</v>
      </c>
      <c r="AH16" s="5">
        <v>0.28000000000000003</v>
      </c>
      <c r="AI16" s="7">
        <v>11</v>
      </c>
      <c r="AJ16" s="5">
        <v>11</v>
      </c>
      <c r="AK16" s="5">
        <v>20</v>
      </c>
      <c r="AL16" s="5">
        <f t="shared" si="13"/>
        <v>5.6000000000000005</v>
      </c>
      <c r="AM16" s="5">
        <f t="shared" si="14"/>
        <v>61.600000000000009</v>
      </c>
      <c r="AN16" s="5">
        <v>3</v>
      </c>
      <c r="AO16" s="5">
        <v>20</v>
      </c>
      <c r="AP16" s="5">
        <v>0.46</v>
      </c>
      <c r="AQ16" s="5">
        <f t="shared" si="15"/>
        <v>27.6</v>
      </c>
      <c r="AR16" s="5">
        <f t="shared" si="16"/>
        <v>89.200000000000017</v>
      </c>
      <c r="AS16" s="25">
        <f t="shared" si="4"/>
        <v>18.141224608501119</v>
      </c>
    </row>
    <row r="17" spans="1:45" x14ac:dyDescent="0.3">
      <c r="A17" s="7" t="s">
        <v>31</v>
      </c>
      <c r="B17" s="7">
        <v>2025</v>
      </c>
      <c r="C17" s="7" t="s">
        <v>46</v>
      </c>
      <c r="D17" s="5" t="s">
        <v>47</v>
      </c>
      <c r="E17" s="7" t="s">
        <v>45</v>
      </c>
      <c r="F17" s="4">
        <v>4799</v>
      </c>
      <c r="G17" s="4">
        <f t="shared" si="0"/>
        <v>1451.6909673906466</v>
      </c>
      <c r="H17" s="4" t="s">
        <v>154</v>
      </c>
      <c r="I17" s="4">
        <v>3</v>
      </c>
      <c r="J17" s="19" t="s">
        <v>150</v>
      </c>
      <c r="K17" s="7" t="s">
        <v>4</v>
      </c>
      <c r="L17" s="7" t="s">
        <v>35</v>
      </c>
      <c r="M17" s="5">
        <v>7.4</v>
      </c>
      <c r="N17" s="5">
        <v>2.82</v>
      </c>
      <c r="O17" s="5">
        <v>24.5</v>
      </c>
      <c r="P17" s="5">
        <v>106</v>
      </c>
      <c r="Q17" s="5">
        <v>216</v>
      </c>
      <c r="R17" s="5">
        <v>0.8</v>
      </c>
      <c r="S17" s="5">
        <v>5.68</v>
      </c>
      <c r="T17" s="5">
        <v>2.83</v>
      </c>
      <c r="U17" s="5"/>
      <c r="V17" s="5"/>
      <c r="W17" s="5"/>
      <c r="X17" s="5"/>
      <c r="Y17" s="5"/>
      <c r="Z17" s="5">
        <v>4470</v>
      </c>
      <c r="AA17" s="5">
        <v>20.100000000000001</v>
      </c>
      <c r="AB17" s="23">
        <f t="shared" si="1"/>
        <v>4201.8</v>
      </c>
      <c r="AC17" s="24">
        <f t="shared" si="5"/>
        <v>2.8944176786830593</v>
      </c>
      <c r="AD17" s="24">
        <f t="shared" si="6"/>
        <v>875.5613478016254</v>
      </c>
      <c r="AE17" s="21">
        <f t="shared" si="11"/>
        <v>10.7895</v>
      </c>
      <c r="AF17" s="21">
        <v>13</v>
      </c>
      <c r="AG17" s="25">
        <f t="shared" si="12"/>
        <v>51.778577496401262</v>
      </c>
      <c r="AH17" s="5">
        <v>0.28000000000000003</v>
      </c>
      <c r="AI17" s="7">
        <v>9</v>
      </c>
      <c r="AJ17" s="5">
        <v>11.5</v>
      </c>
      <c r="AK17" s="5">
        <v>20</v>
      </c>
      <c r="AL17" s="5">
        <f t="shared" si="13"/>
        <v>5.6000000000000005</v>
      </c>
      <c r="AM17" s="5">
        <f t="shared" si="14"/>
        <v>64.400000000000006</v>
      </c>
      <c r="AN17" s="5">
        <v>3</v>
      </c>
      <c r="AO17" s="5">
        <v>20</v>
      </c>
      <c r="AP17" s="5">
        <v>0.46</v>
      </c>
      <c r="AQ17" s="5">
        <f t="shared" si="15"/>
        <v>27.6</v>
      </c>
      <c r="AR17" s="5">
        <f t="shared" si="16"/>
        <v>92</v>
      </c>
      <c r="AS17" s="25">
        <f t="shared" si="4"/>
        <v>19.170746822254639</v>
      </c>
    </row>
    <row r="18" spans="1:45" x14ac:dyDescent="0.3">
      <c r="A18" s="7" t="s">
        <v>31</v>
      </c>
      <c r="B18" s="7">
        <v>2025</v>
      </c>
      <c r="C18" s="7" t="s">
        <v>48</v>
      </c>
      <c r="D18" s="5" t="s">
        <v>49</v>
      </c>
      <c r="E18" s="7" t="s">
        <v>45</v>
      </c>
      <c r="F18" s="4">
        <v>5111</v>
      </c>
      <c r="G18" s="4">
        <f t="shared" si="0"/>
        <v>1546.070542682558</v>
      </c>
      <c r="H18" s="4" t="s">
        <v>154</v>
      </c>
      <c r="I18" s="4">
        <v>2</v>
      </c>
      <c r="J18" s="19" t="s">
        <v>143</v>
      </c>
      <c r="K18" s="7" t="s">
        <v>4</v>
      </c>
      <c r="L18" s="7" t="s">
        <v>35</v>
      </c>
      <c r="M18" s="5">
        <v>7.3</v>
      </c>
      <c r="N18" s="5">
        <v>2.1239999999999997</v>
      </c>
      <c r="O18" s="5">
        <v>20.9</v>
      </c>
      <c r="P18" s="5">
        <v>81.8</v>
      </c>
      <c r="Q18" s="5">
        <v>465</v>
      </c>
      <c r="R18" s="5">
        <v>0.748</v>
      </c>
      <c r="S18" s="5">
        <v>4.9980000000000002</v>
      </c>
      <c r="T18" s="5">
        <v>2.4040000000000004</v>
      </c>
      <c r="U18" s="5">
        <v>2.3959999999999999</v>
      </c>
      <c r="V18" s="5">
        <v>2.1919999999999997</v>
      </c>
      <c r="W18" s="5">
        <v>24.12</v>
      </c>
      <c r="X18" s="5"/>
      <c r="Y18" s="5">
        <v>2.3730000000000002</v>
      </c>
      <c r="Z18" s="5">
        <v>4732.8649999999998</v>
      </c>
      <c r="AA18" s="5">
        <v>24.1</v>
      </c>
      <c r="AB18" s="23">
        <f t="shared" si="1"/>
        <v>4226.1700411764705</v>
      </c>
      <c r="AC18" s="24">
        <f t="shared" si="5"/>
        <v>2.7334910823950649</v>
      </c>
      <c r="AD18" s="24">
        <f t="shared" si="6"/>
        <v>826.88105242450706</v>
      </c>
      <c r="AE18" s="21">
        <f t="shared" si="11"/>
        <v>16.161900000000003</v>
      </c>
      <c r="AF18" s="21">
        <v>13</v>
      </c>
      <c r="AG18" s="25">
        <f t="shared" si="12"/>
        <v>66.442701007845471</v>
      </c>
      <c r="AH18" s="5">
        <v>0.28000000000000003</v>
      </c>
      <c r="AI18" s="7">
        <v>12</v>
      </c>
      <c r="AJ18" s="5">
        <v>12</v>
      </c>
      <c r="AK18" s="5">
        <v>20</v>
      </c>
      <c r="AL18" s="5">
        <f t="shared" si="13"/>
        <v>5.6000000000000005</v>
      </c>
      <c r="AM18" s="5">
        <f t="shared" si="14"/>
        <v>67.2</v>
      </c>
      <c r="AN18" s="5">
        <v>3</v>
      </c>
      <c r="AO18" s="5">
        <v>20</v>
      </c>
      <c r="AP18" s="5">
        <v>0.46</v>
      </c>
      <c r="AQ18" s="5">
        <f t="shared" si="15"/>
        <v>27.6</v>
      </c>
      <c r="AR18" s="5">
        <f t="shared" si="16"/>
        <v>94.800000000000011</v>
      </c>
      <c r="AS18" s="25">
        <f t="shared" si="4"/>
        <v>18.548312776364707</v>
      </c>
    </row>
    <row r="19" spans="1:45" x14ac:dyDescent="0.3">
      <c r="A19" s="7" t="s">
        <v>31</v>
      </c>
      <c r="B19" s="7">
        <v>2025</v>
      </c>
      <c r="C19" s="7" t="s">
        <v>50</v>
      </c>
      <c r="D19" s="5" t="s">
        <v>51</v>
      </c>
      <c r="E19" s="7" t="s">
        <v>45</v>
      </c>
      <c r="F19" s="4">
        <v>4980</v>
      </c>
      <c r="G19" s="4">
        <f t="shared" si="0"/>
        <v>1506.4432210055054</v>
      </c>
      <c r="H19" s="4" t="s">
        <v>154</v>
      </c>
      <c r="I19" s="4">
        <v>3</v>
      </c>
      <c r="J19" s="19" t="s">
        <v>148</v>
      </c>
      <c r="K19" s="7" t="s">
        <v>4</v>
      </c>
      <c r="L19" s="7" t="s">
        <v>35</v>
      </c>
      <c r="M19" s="5">
        <v>6.9</v>
      </c>
      <c r="N19" s="5">
        <v>2.68</v>
      </c>
      <c r="O19" s="5">
        <v>21.3</v>
      </c>
      <c r="P19" s="5">
        <v>67</v>
      </c>
      <c r="Q19" s="5">
        <v>1671</v>
      </c>
      <c r="R19" s="5">
        <v>0.59</v>
      </c>
      <c r="S19" s="5">
        <v>4.99</v>
      </c>
      <c r="T19" s="5">
        <v>2.36</v>
      </c>
      <c r="U19" s="5"/>
      <c r="V19" s="5"/>
      <c r="W19" s="5"/>
      <c r="X19" s="5"/>
      <c r="Y19" s="5"/>
      <c r="Z19" s="5">
        <v>5540</v>
      </c>
      <c r="AA19" s="5">
        <v>21.1</v>
      </c>
      <c r="AB19" s="23">
        <f t="shared" si="1"/>
        <v>5142.4235294117652</v>
      </c>
      <c r="AC19" s="24">
        <f t="shared" si="5"/>
        <v>3.4136192175761875</v>
      </c>
      <c r="AD19" s="24">
        <f t="shared" si="6"/>
        <v>1032.6198133167968</v>
      </c>
      <c r="AE19" s="21">
        <f t="shared" si="11"/>
        <v>40.238300000000002</v>
      </c>
      <c r="AF19" s="21">
        <v>13</v>
      </c>
      <c r="AG19" s="25">
        <f t="shared" si="12"/>
        <v>64.739708671310979</v>
      </c>
      <c r="AH19" s="5">
        <v>0.28000000000000003</v>
      </c>
      <c r="AI19" s="7">
        <v>12</v>
      </c>
      <c r="AJ19" s="5">
        <v>11</v>
      </c>
      <c r="AK19" s="5">
        <v>20</v>
      </c>
      <c r="AL19" s="5">
        <f t="shared" si="13"/>
        <v>5.6000000000000005</v>
      </c>
      <c r="AM19" s="5">
        <f t="shared" si="14"/>
        <v>61.600000000000009</v>
      </c>
      <c r="AN19" s="5">
        <v>3</v>
      </c>
      <c r="AO19" s="5">
        <v>20</v>
      </c>
      <c r="AP19" s="5">
        <v>0.46</v>
      </c>
      <c r="AQ19" s="5">
        <f t="shared" si="15"/>
        <v>27.6</v>
      </c>
      <c r="AR19" s="5">
        <f t="shared" si="16"/>
        <v>89.200000000000017</v>
      </c>
      <c r="AS19" s="25">
        <f t="shared" si="4"/>
        <v>17.911727188755023</v>
      </c>
    </row>
    <row r="20" spans="1:45" x14ac:dyDescent="0.3">
      <c r="A20" s="7" t="s">
        <v>31</v>
      </c>
      <c r="B20" s="7">
        <v>2025</v>
      </c>
      <c r="C20" s="7" t="s">
        <v>52</v>
      </c>
      <c r="D20" s="5" t="s">
        <v>53</v>
      </c>
      <c r="E20" s="7" t="s">
        <v>54</v>
      </c>
      <c r="F20" s="4">
        <v>5180</v>
      </c>
      <c r="G20" s="4">
        <f t="shared" si="0"/>
        <v>1566.9429487567306</v>
      </c>
      <c r="H20" s="4" t="s">
        <v>154</v>
      </c>
      <c r="I20" s="4">
        <v>2</v>
      </c>
      <c r="J20" s="19" t="s">
        <v>142</v>
      </c>
      <c r="K20" s="7" t="s">
        <v>4</v>
      </c>
      <c r="L20" s="7" t="s">
        <v>35</v>
      </c>
      <c r="M20" s="5">
        <v>7.1599999999999993</v>
      </c>
      <c r="N20" s="5">
        <v>1.58</v>
      </c>
      <c r="O20" s="5">
        <v>14.419999999999998</v>
      </c>
      <c r="P20" s="5">
        <v>60</v>
      </c>
      <c r="Q20" s="5">
        <v>1158</v>
      </c>
      <c r="R20" s="5">
        <v>0.52</v>
      </c>
      <c r="S20" s="5">
        <v>4.1479999999999997</v>
      </c>
      <c r="T20" s="5">
        <v>2.82</v>
      </c>
      <c r="U20" s="5">
        <v>2.6720000000000002</v>
      </c>
      <c r="V20" s="5">
        <v>2.2220000000000004</v>
      </c>
      <c r="W20" s="5">
        <v>23.680000002</v>
      </c>
      <c r="X20" s="5"/>
      <c r="Y20" s="5">
        <v>1.8473999999999999</v>
      </c>
      <c r="Z20" s="5">
        <v>4580.2370000000001</v>
      </c>
      <c r="AA20" s="5">
        <v>21.1</v>
      </c>
      <c r="AB20" s="23">
        <f t="shared" si="1"/>
        <v>4251.53763882353</v>
      </c>
      <c r="AC20" s="24">
        <f t="shared" si="5"/>
        <v>2.7132689433248696</v>
      </c>
      <c r="AD20" s="24">
        <f t="shared" si="6"/>
        <v>820.7638553557731</v>
      </c>
      <c r="AE20" s="21">
        <f t="shared" si="11"/>
        <v>30.72822</v>
      </c>
      <c r="AF20" s="21">
        <v>13</v>
      </c>
      <c r="AG20" s="25">
        <f t="shared" si="12"/>
        <v>67.339696971363622</v>
      </c>
      <c r="AH20" s="5">
        <v>0.22</v>
      </c>
      <c r="AI20" s="7">
        <v>15</v>
      </c>
      <c r="AJ20" s="5">
        <v>10</v>
      </c>
      <c r="AK20" s="5">
        <v>20</v>
      </c>
      <c r="AL20" s="5">
        <f t="shared" si="13"/>
        <v>4.4000000000000004</v>
      </c>
      <c r="AM20" s="5">
        <f t="shared" si="14"/>
        <v>44</v>
      </c>
      <c r="AN20" s="5">
        <v>2</v>
      </c>
      <c r="AO20" s="5">
        <v>20</v>
      </c>
      <c r="AP20" s="5">
        <v>0.46</v>
      </c>
      <c r="AQ20" s="5">
        <f t="shared" ref="AQ20:AQ21" si="17">AN20*AO20*AP20</f>
        <v>18.400000000000002</v>
      </c>
      <c r="AR20" s="5">
        <f t="shared" ref="AR20:AR35" si="18">AM20+AQ20</f>
        <v>62.400000000000006</v>
      </c>
      <c r="AS20" s="25">
        <f t="shared" si="4"/>
        <v>12.046386254826254</v>
      </c>
    </row>
    <row r="21" spans="1:45" x14ac:dyDescent="0.3">
      <c r="A21" s="12" t="s">
        <v>31</v>
      </c>
      <c r="B21" s="7">
        <v>2025</v>
      </c>
      <c r="C21" s="12" t="s">
        <v>55</v>
      </c>
      <c r="D21" s="6" t="s">
        <v>56</v>
      </c>
      <c r="E21" s="12" t="s">
        <v>54</v>
      </c>
      <c r="F21" s="13">
        <v>5027</v>
      </c>
      <c r="G21" s="4">
        <f t="shared" si="0"/>
        <v>1520.6606570270433</v>
      </c>
      <c r="H21" s="4" t="s">
        <v>154</v>
      </c>
      <c r="I21" s="4">
        <v>3</v>
      </c>
      <c r="J21" s="19" t="s">
        <v>148</v>
      </c>
      <c r="K21" s="12" t="s">
        <v>4</v>
      </c>
      <c r="L21" s="12" t="s">
        <v>35</v>
      </c>
      <c r="M21" s="5">
        <v>7</v>
      </c>
      <c r="N21" s="5">
        <v>1.59</v>
      </c>
      <c r="O21" s="5">
        <v>15.1</v>
      </c>
      <c r="P21" s="5">
        <v>47</v>
      </c>
      <c r="Q21" s="5">
        <v>758</v>
      </c>
      <c r="R21" s="5">
        <v>0.54</v>
      </c>
      <c r="S21" s="5">
        <v>4.07</v>
      </c>
      <c r="T21" s="5">
        <v>2.92</v>
      </c>
      <c r="U21" s="5"/>
      <c r="V21" s="5"/>
      <c r="W21" s="5"/>
      <c r="X21" s="5"/>
      <c r="Y21" s="5"/>
      <c r="Z21" s="5">
        <v>4340</v>
      </c>
      <c r="AA21" s="5">
        <v>21.5</v>
      </c>
      <c r="AB21" s="23">
        <f t="shared" si="1"/>
        <v>4008.1176470588234</v>
      </c>
      <c r="AC21" s="24">
        <f t="shared" si="5"/>
        <v>2.6357738845528265</v>
      </c>
      <c r="AD21" s="24">
        <f t="shared" si="6"/>
        <v>797.32160007722996</v>
      </c>
      <c r="AE21" s="21">
        <f t="shared" si="11"/>
        <v>22.6541</v>
      </c>
      <c r="AF21" s="21">
        <v>13</v>
      </c>
      <c r="AG21" s="25">
        <f t="shared" si="12"/>
        <v>65.350705921823348</v>
      </c>
      <c r="AH21" s="5">
        <v>0.22</v>
      </c>
      <c r="AI21" s="7">
        <v>15</v>
      </c>
      <c r="AJ21" s="5">
        <v>10</v>
      </c>
      <c r="AK21" s="5">
        <v>20</v>
      </c>
      <c r="AL21" s="5">
        <f t="shared" si="13"/>
        <v>4.4000000000000004</v>
      </c>
      <c r="AM21" s="5">
        <f t="shared" si="14"/>
        <v>44</v>
      </c>
      <c r="AN21" s="5">
        <v>2</v>
      </c>
      <c r="AO21" s="5">
        <v>20</v>
      </c>
      <c r="AP21" s="5">
        <v>0.46</v>
      </c>
      <c r="AQ21" s="5">
        <f t="shared" si="17"/>
        <v>18.400000000000002</v>
      </c>
      <c r="AR21" s="5">
        <f t="shared" si="18"/>
        <v>62.400000000000006</v>
      </c>
      <c r="AS21" s="25">
        <f t="shared" si="4"/>
        <v>12.413025820568929</v>
      </c>
    </row>
    <row r="22" spans="1:45" x14ac:dyDescent="0.3">
      <c r="A22" s="14" t="s">
        <v>31</v>
      </c>
      <c r="B22" s="7">
        <v>2025</v>
      </c>
      <c r="C22" s="14" t="s">
        <v>73</v>
      </c>
      <c r="D22" s="5" t="s">
        <v>69</v>
      </c>
      <c r="E22" s="7" t="s">
        <v>71</v>
      </c>
      <c r="F22" s="15">
        <v>4945</v>
      </c>
      <c r="G22" s="4">
        <f t="shared" si="0"/>
        <v>1495.855768649041</v>
      </c>
      <c r="H22" s="4" t="s">
        <v>154</v>
      </c>
      <c r="I22" s="4">
        <v>4</v>
      </c>
      <c r="J22" s="19" t="s">
        <v>145</v>
      </c>
      <c r="K22" s="7" t="s">
        <v>4</v>
      </c>
      <c r="L22" s="7" t="s">
        <v>144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>
        <v>5030</v>
      </c>
      <c r="AA22" s="5">
        <v>22.3</v>
      </c>
      <c r="AB22" s="23">
        <f t="shared" si="1"/>
        <v>4598.0117647058823</v>
      </c>
      <c r="AC22" s="24">
        <f t="shared" si="5"/>
        <v>3.0738336282638437</v>
      </c>
      <c r="AD22" s="24">
        <f t="shared" si="6"/>
        <v>929.83467254981269</v>
      </c>
      <c r="AE22" s="21">
        <f t="shared" si="11"/>
        <v>9.14</v>
      </c>
      <c r="AF22" s="21">
        <v>13</v>
      </c>
      <c r="AG22" s="25">
        <f t="shared" si="12"/>
        <v>45.197096613065241</v>
      </c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</row>
    <row r="23" spans="1:45" x14ac:dyDescent="0.3">
      <c r="A23" s="14" t="s">
        <v>31</v>
      </c>
      <c r="B23" s="7">
        <v>2025</v>
      </c>
      <c r="C23" s="14" t="s">
        <v>73</v>
      </c>
      <c r="D23" s="5" t="s">
        <v>70</v>
      </c>
      <c r="E23" s="7" t="s">
        <v>72</v>
      </c>
      <c r="F23" s="15">
        <v>3623</v>
      </c>
      <c r="G23" s="4">
        <f t="shared" si="0"/>
        <v>1095.9525682134431</v>
      </c>
      <c r="H23" s="4" t="s">
        <v>154</v>
      </c>
      <c r="I23" s="4">
        <v>4</v>
      </c>
      <c r="J23" s="19" t="s">
        <v>145</v>
      </c>
      <c r="K23" s="7" t="s">
        <v>4</v>
      </c>
      <c r="L23" s="7" t="s">
        <v>144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3420</v>
      </c>
      <c r="AA23" s="5">
        <v>22.3</v>
      </c>
      <c r="AB23" s="23">
        <f t="shared" si="1"/>
        <v>3126.2823529411767</v>
      </c>
      <c r="AC23" s="24">
        <f t="shared" si="5"/>
        <v>2.8525708535337957</v>
      </c>
      <c r="AD23" s="24">
        <f t="shared" si="6"/>
        <v>862.90268319397308</v>
      </c>
      <c r="AE23" s="21">
        <f t="shared" si="11"/>
        <v>9.14</v>
      </c>
      <c r="AF23" s="21">
        <v>13</v>
      </c>
      <c r="AG23" s="25">
        <f t="shared" si="12"/>
        <v>33.114070986680566</v>
      </c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f t="shared" si="18"/>
        <v>0</v>
      </c>
      <c r="AS23" s="5"/>
    </row>
    <row r="24" spans="1:45" x14ac:dyDescent="0.3">
      <c r="A24" s="7" t="s">
        <v>101</v>
      </c>
      <c r="B24" s="7">
        <v>2025</v>
      </c>
      <c r="C24" s="7" t="s">
        <v>102</v>
      </c>
      <c r="D24" s="29" t="s">
        <v>103</v>
      </c>
      <c r="E24" s="8" t="s">
        <v>104</v>
      </c>
      <c r="F24" s="4">
        <v>2202</v>
      </c>
      <c r="G24" s="4">
        <f t="shared" si="0"/>
        <v>666.10200254098856</v>
      </c>
      <c r="H24" s="7" t="s">
        <v>127</v>
      </c>
      <c r="I24" s="4">
        <v>2</v>
      </c>
      <c r="J24" s="19" t="s">
        <v>143</v>
      </c>
      <c r="K24" s="7" t="s">
        <v>4</v>
      </c>
      <c r="L24" s="7" t="s">
        <v>128</v>
      </c>
      <c r="M24" s="5"/>
      <c r="N24" s="5"/>
      <c r="O24" s="5">
        <v>41.52</v>
      </c>
      <c r="P24" s="5"/>
      <c r="Q24" s="5">
        <v>118.4</v>
      </c>
      <c r="R24" s="5"/>
      <c r="S24" s="5"/>
      <c r="T24" s="5"/>
      <c r="U24" s="5"/>
      <c r="V24" s="5"/>
      <c r="W24" s="5"/>
      <c r="X24" s="5"/>
      <c r="Y24" s="5"/>
      <c r="Z24" s="5">
        <v>1298</v>
      </c>
      <c r="AA24" s="5">
        <v>15.5</v>
      </c>
      <c r="AB24" s="23">
        <f t="shared" ref="AB24:AB42" si="19">Z24*(100-AA24)/(100-15)</f>
        <v>1290.3647058823528</v>
      </c>
      <c r="AC24" s="24">
        <f t="shared" si="5"/>
        <v>1.9371878495485386</v>
      </c>
      <c r="AD24" s="24">
        <f t="shared" si="6"/>
        <v>585.99932448843299</v>
      </c>
      <c r="AE24" s="21">
        <f t="shared" si="11"/>
        <v>6.9823200000000005</v>
      </c>
      <c r="AF24" s="21">
        <v>13</v>
      </c>
      <c r="AG24" s="25">
        <f t="shared" si="12"/>
        <v>15.374999452502463</v>
      </c>
      <c r="AH24" s="5">
        <v>0.2</v>
      </c>
      <c r="AI24" s="7">
        <v>4</v>
      </c>
      <c r="AJ24" s="7">
        <v>4</v>
      </c>
      <c r="AK24" s="5">
        <v>20</v>
      </c>
      <c r="AL24" s="5">
        <f t="shared" ref="AL24:AL35" si="20">AK24*AH24</f>
        <v>4</v>
      </c>
      <c r="AM24" s="5">
        <f t="shared" ref="AM24:AM35" si="21">AL24*AJ24</f>
        <v>16</v>
      </c>
      <c r="AN24" s="5">
        <v>0.85</v>
      </c>
      <c r="AO24" s="5">
        <v>20</v>
      </c>
      <c r="AP24" s="5">
        <v>0.46</v>
      </c>
      <c r="AQ24" s="5">
        <f t="shared" ref="AQ24:AQ35" si="22">AN24*AO24*AP24</f>
        <v>7.82</v>
      </c>
      <c r="AR24" s="5">
        <f t="shared" si="18"/>
        <v>23.82</v>
      </c>
      <c r="AS24" s="25">
        <f t="shared" ref="AS24:AS35" si="23">AR24*302.5/G24</f>
        <v>10.817487370572207</v>
      </c>
    </row>
    <row r="25" spans="1:45" x14ac:dyDescent="0.3">
      <c r="A25" s="7" t="s">
        <v>101</v>
      </c>
      <c r="B25" s="7">
        <v>2025</v>
      </c>
      <c r="C25" s="7" t="s">
        <v>105</v>
      </c>
      <c r="D25" s="29" t="s">
        <v>106</v>
      </c>
      <c r="E25" s="8" t="s">
        <v>104</v>
      </c>
      <c r="F25" s="4">
        <v>1431</v>
      </c>
      <c r="G25" s="4">
        <f t="shared" si="0"/>
        <v>432.87555206001571</v>
      </c>
      <c r="H25" s="7" t="s">
        <v>127</v>
      </c>
      <c r="I25" s="4">
        <v>2</v>
      </c>
      <c r="J25" s="19" t="s">
        <v>143</v>
      </c>
      <c r="K25" s="7" t="s">
        <v>4</v>
      </c>
      <c r="L25" s="7" t="s">
        <v>128</v>
      </c>
      <c r="M25" s="5"/>
      <c r="N25" s="5"/>
      <c r="O25" s="5">
        <v>37.299999999999997</v>
      </c>
      <c r="P25" s="5"/>
      <c r="Q25" s="5">
        <v>175.1</v>
      </c>
      <c r="R25" s="5"/>
      <c r="S25" s="5"/>
      <c r="T25" s="5"/>
      <c r="U25" s="5"/>
      <c r="V25" s="5"/>
      <c r="W25" s="5"/>
      <c r="X25" s="5"/>
      <c r="Y25" s="5"/>
      <c r="Z25" s="5">
        <v>885</v>
      </c>
      <c r="AA25" s="5">
        <v>15.5</v>
      </c>
      <c r="AB25" s="23">
        <f t="shared" si="19"/>
        <v>879.79411764705878</v>
      </c>
      <c r="AC25" s="24">
        <f t="shared" si="5"/>
        <v>2.0324412257984954</v>
      </c>
      <c r="AD25" s="24">
        <f t="shared" si="6"/>
        <v>614.81347080404498</v>
      </c>
      <c r="AE25" s="21">
        <f t="shared" si="11"/>
        <v>8.5762999999999998</v>
      </c>
      <c r="AF25" s="21">
        <v>13</v>
      </c>
      <c r="AG25" s="25">
        <f t="shared" si="12"/>
        <v>12.27263007316467</v>
      </c>
      <c r="AH25" s="5">
        <v>0.2</v>
      </c>
      <c r="AI25" s="7">
        <v>3</v>
      </c>
      <c r="AJ25" s="7">
        <v>3</v>
      </c>
      <c r="AK25" s="5">
        <v>20</v>
      </c>
      <c r="AL25" s="5">
        <f t="shared" si="20"/>
        <v>4</v>
      </c>
      <c r="AM25" s="5">
        <f t="shared" si="21"/>
        <v>12</v>
      </c>
      <c r="AN25" s="5">
        <v>0.55000000000000004</v>
      </c>
      <c r="AO25" s="5">
        <v>20</v>
      </c>
      <c r="AP25" s="5">
        <v>0.46</v>
      </c>
      <c r="AQ25" s="5">
        <f t="shared" si="22"/>
        <v>5.0600000000000005</v>
      </c>
      <c r="AR25" s="5">
        <f t="shared" si="18"/>
        <v>17.060000000000002</v>
      </c>
      <c r="AS25" s="25">
        <f t="shared" si="23"/>
        <v>11.921786701607269</v>
      </c>
    </row>
    <row r="26" spans="1:45" x14ac:dyDescent="0.3">
      <c r="A26" s="7" t="s">
        <v>101</v>
      </c>
      <c r="B26" s="7">
        <v>2025</v>
      </c>
      <c r="C26" s="7" t="s">
        <v>107</v>
      </c>
      <c r="D26" s="29" t="s">
        <v>108</v>
      </c>
      <c r="E26" s="8" t="s">
        <v>104</v>
      </c>
      <c r="F26" s="4">
        <v>4625</v>
      </c>
      <c r="G26" s="4">
        <f t="shared" si="0"/>
        <v>1399.0562042470808</v>
      </c>
      <c r="H26" s="7" t="s">
        <v>127</v>
      </c>
      <c r="I26" s="4">
        <v>2</v>
      </c>
      <c r="J26" s="19" t="s">
        <v>143</v>
      </c>
      <c r="K26" s="7" t="s">
        <v>4</v>
      </c>
      <c r="L26" s="7" t="s">
        <v>128</v>
      </c>
      <c r="M26" s="5"/>
      <c r="N26" s="5"/>
      <c r="O26" s="5">
        <v>41.12</v>
      </c>
      <c r="P26" s="5"/>
      <c r="Q26" s="5">
        <v>170.8</v>
      </c>
      <c r="R26" s="5"/>
      <c r="S26" s="5"/>
      <c r="T26" s="5"/>
      <c r="U26" s="5"/>
      <c r="V26" s="5"/>
      <c r="W26" s="5"/>
      <c r="X26" s="5"/>
      <c r="Y26" s="5"/>
      <c r="Z26" s="5">
        <v>2592</v>
      </c>
      <c r="AA26" s="5">
        <v>15.5</v>
      </c>
      <c r="AB26" s="23">
        <f t="shared" si="19"/>
        <v>2576.7529411764708</v>
      </c>
      <c r="AC26" s="24">
        <f t="shared" si="5"/>
        <v>1.8417794319872816</v>
      </c>
      <c r="AD26" s="24">
        <f t="shared" si="6"/>
        <v>557.13827817615265</v>
      </c>
      <c r="AE26" s="21">
        <f t="shared" si="11"/>
        <v>8.0739200000000011</v>
      </c>
      <c r="AF26" s="21">
        <v>13</v>
      </c>
      <c r="AG26" s="25">
        <f t="shared" si="12"/>
        <v>37.341711962296174</v>
      </c>
      <c r="AH26" s="5">
        <v>0.2</v>
      </c>
      <c r="AI26" s="7">
        <v>9</v>
      </c>
      <c r="AJ26" s="7">
        <v>9</v>
      </c>
      <c r="AK26" s="5">
        <v>20</v>
      </c>
      <c r="AL26" s="5">
        <f t="shared" si="20"/>
        <v>4</v>
      </c>
      <c r="AM26" s="5">
        <f t="shared" si="21"/>
        <v>36</v>
      </c>
      <c r="AN26" s="5">
        <v>1.75</v>
      </c>
      <c r="AO26" s="5">
        <v>20</v>
      </c>
      <c r="AP26" s="5">
        <v>0.46</v>
      </c>
      <c r="AQ26" s="5">
        <f t="shared" si="22"/>
        <v>16.100000000000001</v>
      </c>
      <c r="AR26" s="5">
        <f t="shared" si="18"/>
        <v>52.1</v>
      </c>
      <c r="AS26" s="25">
        <f t="shared" si="23"/>
        <v>11.264915556756756</v>
      </c>
    </row>
    <row r="27" spans="1:45" x14ac:dyDescent="0.3">
      <c r="A27" s="7" t="s">
        <v>101</v>
      </c>
      <c r="B27" s="7">
        <v>2025</v>
      </c>
      <c r="C27" s="7" t="s">
        <v>109</v>
      </c>
      <c r="D27" s="30" t="s">
        <v>110</v>
      </c>
      <c r="E27" s="8" t="s">
        <v>104</v>
      </c>
      <c r="F27" s="4">
        <v>3484</v>
      </c>
      <c r="G27" s="4">
        <f t="shared" si="0"/>
        <v>1053.9052574263414</v>
      </c>
      <c r="H27" s="7" t="s">
        <v>127</v>
      </c>
      <c r="I27" s="4">
        <v>2</v>
      </c>
      <c r="J27" s="19" t="s">
        <v>143</v>
      </c>
      <c r="K27" s="7" t="s">
        <v>4</v>
      </c>
      <c r="L27" s="7" t="s">
        <v>128</v>
      </c>
      <c r="M27" s="5"/>
      <c r="N27" s="5"/>
      <c r="O27" s="5">
        <v>33.700000000000003</v>
      </c>
      <c r="P27" s="5"/>
      <c r="Q27" s="5">
        <v>194.8</v>
      </c>
      <c r="R27" s="5"/>
      <c r="S27" s="5"/>
      <c r="T27" s="5"/>
      <c r="U27" s="5"/>
      <c r="V27" s="5"/>
      <c r="W27" s="5"/>
      <c r="X27" s="5"/>
      <c r="Y27" s="5"/>
      <c r="Z27" s="5">
        <v>1900</v>
      </c>
      <c r="AA27" s="5">
        <v>15.5</v>
      </c>
      <c r="AB27" s="23">
        <f t="shared" si="19"/>
        <v>1888.8235294117646</v>
      </c>
      <c r="AC27" s="24">
        <f t="shared" si="5"/>
        <v>1.7922137840210712</v>
      </c>
      <c r="AD27" s="24">
        <f t="shared" si="6"/>
        <v>542.14466966637406</v>
      </c>
      <c r="AE27" s="21">
        <f t="shared" si="11"/>
        <v>9.3627000000000002</v>
      </c>
      <c r="AF27" s="21">
        <v>13</v>
      </c>
      <c r="AG27" s="25">
        <f t="shared" si="12"/>
        <v>32.619500012249944</v>
      </c>
      <c r="AH27" s="5">
        <v>0.2</v>
      </c>
      <c r="AI27" s="7">
        <v>8</v>
      </c>
      <c r="AJ27" s="7">
        <v>8</v>
      </c>
      <c r="AK27" s="5">
        <v>20</v>
      </c>
      <c r="AL27" s="5">
        <f t="shared" si="20"/>
        <v>4</v>
      </c>
      <c r="AM27" s="5">
        <f t="shared" si="21"/>
        <v>32</v>
      </c>
      <c r="AN27" s="5">
        <v>1.3</v>
      </c>
      <c r="AO27" s="5">
        <v>20</v>
      </c>
      <c r="AP27" s="5">
        <v>0.46</v>
      </c>
      <c r="AQ27" s="5">
        <f t="shared" si="22"/>
        <v>11.96</v>
      </c>
      <c r="AR27" s="5">
        <f t="shared" si="18"/>
        <v>43.96</v>
      </c>
      <c r="AS27" s="25">
        <f t="shared" si="23"/>
        <v>12.617737606199771</v>
      </c>
    </row>
    <row r="28" spans="1:45" x14ac:dyDescent="0.3">
      <c r="A28" s="7" t="s">
        <v>101</v>
      </c>
      <c r="B28" s="7">
        <v>2025</v>
      </c>
      <c r="C28" s="7" t="s">
        <v>111</v>
      </c>
      <c r="D28" s="30" t="s">
        <v>112</v>
      </c>
      <c r="E28" s="8" t="s">
        <v>104</v>
      </c>
      <c r="F28" s="4">
        <v>2520</v>
      </c>
      <c r="G28" s="4">
        <f t="shared" si="0"/>
        <v>762.29656966543644</v>
      </c>
      <c r="H28" s="7" t="s">
        <v>127</v>
      </c>
      <c r="I28" s="4">
        <v>2</v>
      </c>
      <c r="J28" s="19" t="s">
        <v>143</v>
      </c>
      <c r="K28" s="7" t="s">
        <v>4</v>
      </c>
      <c r="L28" s="7" t="s">
        <v>128</v>
      </c>
      <c r="M28" s="5"/>
      <c r="N28" s="5"/>
      <c r="O28" s="5">
        <v>36.9</v>
      </c>
      <c r="P28" s="5"/>
      <c r="Q28" s="5">
        <v>82.6</v>
      </c>
      <c r="R28" s="5"/>
      <c r="S28" s="5"/>
      <c r="T28" s="5"/>
      <c r="U28" s="5"/>
      <c r="V28" s="5"/>
      <c r="W28" s="5"/>
      <c r="X28" s="5"/>
      <c r="Y28" s="5"/>
      <c r="Z28" s="5">
        <v>1350</v>
      </c>
      <c r="AA28" s="5">
        <v>15.5</v>
      </c>
      <c r="AB28" s="23">
        <f t="shared" si="19"/>
        <v>1342.0588235294117</v>
      </c>
      <c r="AC28" s="24">
        <f t="shared" si="5"/>
        <v>1.760546848739496</v>
      </c>
      <c r="AD28" s="24">
        <f t="shared" si="6"/>
        <v>532.56542174369747</v>
      </c>
      <c r="AE28" s="21">
        <f t="shared" si="11"/>
        <v>6.7699000000000007</v>
      </c>
      <c r="AF28" s="21">
        <v>13</v>
      </c>
      <c r="AG28" s="25">
        <f t="shared" si="12"/>
        <v>17.060071229679465</v>
      </c>
      <c r="AH28" s="5">
        <v>0.2</v>
      </c>
      <c r="AI28" s="7">
        <v>4</v>
      </c>
      <c r="AJ28" s="7">
        <v>4</v>
      </c>
      <c r="AK28" s="5">
        <v>20</v>
      </c>
      <c r="AL28" s="5">
        <f t="shared" si="20"/>
        <v>4</v>
      </c>
      <c r="AM28" s="5">
        <f t="shared" si="21"/>
        <v>16</v>
      </c>
      <c r="AN28" s="5">
        <v>0.95</v>
      </c>
      <c r="AO28" s="5">
        <v>20</v>
      </c>
      <c r="AP28" s="5">
        <v>0.46</v>
      </c>
      <c r="AQ28" s="5">
        <f t="shared" si="22"/>
        <v>8.74</v>
      </c>
      <c r="AR28" s="5">
        <f t="shared" si="18"/>
        <v>24.740000000000002</v>
      </c>
      <c r="AS28" s="25">
        <f t="shared" si="23"/>
        <v>9.8175044960317468</v>
      </c>
    </row>
    <row r="29" spans="1:45" x14ac:dyDescent="0.3">
      <c r="A29" s="7" t="s">
        <v>101</v>
      </c>
      <c r="B29" s="7">
        <v>2025</v>
      </c>
      <c r="C29" s="7" t="s">
        <v>113</v>
      </c>
      <c r="D29" s="30" t="s">
        <v>114</v>
      </c>
      <c r="E29" s="8" t="s">
        <v>104</v>
      </c>
      <c r="F29" s="4">
        <v>2694</v>
      </c>
      <c r="G29" s="4">
        <f t="shared" si="0"/>
        <v>814.93133280900236</v>
      </c>
      <c r="H29" s="7" t="s">
        <v>127</v>
      </c>
      <c r="I29" s="4">
        <v>2</v>
      </c>
      <c r="J29" s="19" t="s">
        <v>143</v>
      </c>
      <c r="K29" s="7" t="s">
        <v>4</v>
      </c>
      <c r="L29" s="7" t="s">
        <v>128</v>
      </c>
      <c r="M29" s="5"/>
      <c r="N29" s="5"/>
      <c r="O29" s="5">
        <v>31.78</v>
      </c>
      <c r="P29" s="5"/>
      <c r="Q29" s="5">
        <v>192.5</v>
      </c>
      <c r="R29" s="5"/>
      <c r="S29" s="5"/>
      <c r="T29" s="5"/>
      <c r="U29" s="5"/>
      <c r="V29" s="5"/>
      <c r="W29" s="5"/>
      <c r="X29" s="5"/>
      <c r="Y29" s="5"/>
      <c r="Z29" s="5">
        <v>1614</v>
      </c>
      <c r="AA29" s="5">
        <v>15.5</v>
      </c>
      <c r="AB29" s="23">
        <f t="shared" si="19"/>
        <v>1604.5058823529412</v>
      </c>
      <c r="AC29" s="24">
        <f t="shared" si="5"/>
        <v>1.9688847609065898</v>
      </c>
      <c r="AD29" s="24">
        <f t="shared" si="6"/>
        <v>595.58764017424346</v>
      </c>
      <c r="AE29" s="21">
        <f t="shared" si="11"/>
        <v>9.5259800000000006</v>
      </c>
      <c r="AF29" s="21">
        <v>13</v>
      </c>
      <c r="AG29" s="25">
        <f t="shared" si="12"/>
        <v>25.662874637064135</v>
      </c>
      <c r="AH29" s="5">
        <v>0.2</v>
      </c>
      <c r="AI29" s="7">
        <v>6</v>
      </c>
      <c r="AJ29" s="7">
        <v>6</v>
      </c>
      <c r="AK29" s="5">
        <v>20</v>
      </c>
      <c r="AL29" s="5">
        <f t="shared" si="20"/>
        <v>4</v>
      </c>
      <c r="AM29" s="5">
        <f t="shared" si="21"/>
        <v>24</v>
      </c>
      <c r="AN29" s="5">
        <v>1</v>
      </c>
      <c r="AO29" s="5">
        <v>20</v>
      </c>
      <c r="AP29" s="5">
        <v>0.46</v>
      </c>
      <c r="AQ29" s="5">
        <f t="shared" si="22"/>
        <v>9.2000000000000011</v>
      </c>
      <c r="AR29" s="5">
        <f t="shared" si="18"/>
        <v>33.200000000000003</v>
      </c>
      <c r="AS29" s="25">
        <f t="shared" si="23"/>
        <v>12.323737713437268</v>
      </c>
    </row>
    <row r="30" spans="1:45" x14ac:dyDescent="0.3">
      <c r="A30" s="7" t="s">
        <v>101</v>
      </c>
      <c r="B30" s="7">
        <v>2025</v>
      </c>
      <c r="C30" s="7" t="s">
        <v>115</v>
      </c>
      <c r="D30" s="31" t="s">
        <v>116</v>
      </c>
      <c r="E30" s="8" t="s">
        <v>104</v>
      </c>
      <c r="F30" s="4">
        <v>4301</v>
      </c>
      <c r="G30" s="4">
        <f t="shared" si="0"/>
        <v>1301.0466452900962</v>
      </c>
      <c r="H30" s="7" t="s">
        <v>127</v>
      </c>
      <c r="I30" s="4">
        <v>2</v>
      </c>
      <c r="J30" s="19" t="s">
        <v>143</v>
      </c>
      <c r="K30" s="7" t="s">
        <v>4</v>
      </c>
      <c r="L30" s="7" t="s">
        <v>128</v>
      </c>
      <c r="M30" s="5"/>
      <c r="N30" s="5"/>
      <c r="O30" s="5">
        <v>27.64</v>
      </c>
      <c r="P30" s="5"/>
      <c r="Q30" s="5">
        <v>112.8</v>
      </c>
      <c r="R30" s="5"/>
      <c r="S30" s="5"/>
      <c r="T30" s="5"/>
      <c r="U30" s="5"/>
      <c r="V30" s="5"/>
      <c r="W30" s="5"/>
      <c r="X30" s="5"/>
      <c r="Y30" s="5"/>
      <c r="Z30" s="5">
        <v>2404</v>
      </c>
      <c r="AA30" s="5">
        <v>15.5</v>
      </c>
      <c r="AB30" s="23">
        <f t="shared" si="19"/>
        <v>2389.8588235294119</v>
      </c>
      <c r="AC30" s="24">
        <f t="shared" si="5"/>
        <v>1.8368740522723854</v>
      </c>
      <c r="AD30" s="24">
        <f t="shared" si="6"/>
        <v>555.6544008123966</v>
      </c>
      <c r="AE30" s="21">
        <f t="shared" si="11"/>
        <v>8.3832400000000007</v>
      </c>
      <c r="AF30" s="21">
        <v>13</v>
      </c>
      <c r="AG30" s="25">
        <f t="shared" si="12"/>
        <v>36.056152987311563</v>
      </c>
      <c r="AH30" s="5">
        <v>0.2</v>
      </c>
      <c r="AI30" s="7">
        <v>9</v>
      </c>
      <c r="AJ30" s="7">
        <v>9</v>
      </c>
      <c r="AK30" s="5">
        <v>20</v>
      </c>
      <c r="AL30" s="5">
        <f t="shared" si="20"/>
        <v>4</v>
      </c>
      <c r="AM30" s="5">
        <f t="shared" si="21"/>
        <v>36</v>
      </c>
      <c r="AN30" s="5">
        <v>1.65</v>
      </c>
      <c r="AO30" s="5">
        <v>20</v>
      </c>
      <c r="AP30" s="5">
        <v>0.46</v>
      </c>
      <c r="AQ30" s="5">
        <f t="shared" si="22"/>
        <v>15.180000000000001</v>
      </c>
      <c r="AR30" s="5">
        <f t="shared" si="18"/>
        <v>51.18</v>
      </c>
      <c r="AS30" s="25">
        <f t="shared" si="23"/>
        <v>11.89961179028133</v>
      </c>
    </row>
    <row r="31" spans="1:45" x14ac:dyDescent="0.3">
      <c r="A31" s="7" t="s">
        <v>101</v>
      </c>
      <c r="B31" s="7">
        <v>2025</v>
      </c>
      <c r="C31" s="7" t="s">
        <v>117</v>
      </c>
      <c r="D31" s="29" t="s">
        <v>118</v>
      </c>
      <c r="E31" s="8" t="s">
        <v>104</v>
      </c>
      <c r="F31" s="4">
        <v>4112</v>
      </c>
      <c r="G31" s="4">
        <f t="shared" si="0"/>
        <v>1243.8744025651883</v>
      </c>
      <c r="H31" s="7" t="s">
        <v>127</v>
      </c>
      <c r="I31" s="4">
        <v>2</v>
      </c>
      <c r="J31" s="19" t="s">
        <v>143</v>
      </c>
      <c r="K31" s="7" t="s">
        <v>4</v>
      </c>
      <c r="L31" s="7" t="s">
        <v>128</v>
      </c>
      <c r="M31" s="5"/>
      <c r="N31" s="5"/>
      <c r="O31" s="5">
        <v>38.21</v>
      </c>
      <c r="P31" s="5"/>
      <c r="Q31" s="5">
        <v>266.2</v>
      </c>
      <c r="R31" s="5"/>
      <c r="S31" s="5"/>
      <c r="T31" s="5"/>
      <c r="U31" s="5"/>
      <c r="V31" s="5"/>
      <c r="W31" s="5"/>
      <c r="X31" s="5"/>
      <c r="Y31" s="5"/>
      <c r="Z31" s="5">
        <v>2109</v>
      </c>
      <c r="AA31" s="5">
        <v>15.5</v>
      </c>
      <c r="AB31" s="23">
        <f t="shared" si="19"/>
        <v>2096.5941176470587</v>
      </c>
      <c r="AC31" s="24">
        <f t="shared" si="5"/>
        <v>1.6855352223048754</v>
      </c>
      <c r="AD31" s="24">
        <f t="shared" si="6"/>
        <v>509.87440474722484</v>
      </c>
      <c r="AE31" s="21">
        <f t="shared" si="11"/>
        <v>10.299110000000001</v>
      </c>
      <c r="AF31" s="21">
        <v>13</v>
      </c>
      <c r="AG31" s="25">
        <f t="shared" si="12"/>
        <v>42.349749746126143</v>
      </c>
      <c r="AH31" s="5">
        <v>0.2</v>
      </c>
      <c r="AI31" s="7">
        <v>10</v>
      </c>
      <c r="AJ31" s="7">
        <v>10</v>
      </c>
      <c r="AK31" s="5">
        <v>20</v>
      </c>
      <c r="AL31" s="5">
        <f t="shared" si="20"/>
        <v>4</v>
      </c>
      <c r="AM31" s="5">
        <f t="shared" si="21"/>
        <v>40</v>
      </c>
      <c r="AN31" s="5">
        <v>1.55</v>
      </c>
      <c r="AO31" s="5">
        <v>20</v>
      </c>
      <c r="AP31" s="5">
        <v>0.46</v>
      </c>
      <c r="AQ31" s="5">
        <f t="shared" si="22"/>
        <v>14.26</v>
      </c>
      <c r="AR31" s="5">
        <f t="shared" si="18"/>
        <v>54.26</v>
      </c>
      <c r="AS31" s="25">
        <f t="shared" si="23"/>
        <v>13.195584671692606</v>
      </c>
    </row>
    <row r="32" spans="1:45" x14ac:dyDescent="0.3">
      <c r="A32" s="7" t="s">
        <v>101</v>
      </c>
      <c r="B32" s="7">
        <v>2025</v>
      </c>
      <c r="C32" s="7" t="s">
        <v>119</v>
      </c>
      <c r="D32" s="31" t="s">
        <v>120</v>
      </c>
      <c r="E32" s="8" t="s">
        <v>104</v>
      </c>
      <c r="F32" s="4">
        <v>3029</v>
      </c>
      <c r="G32" s="4">
        <f t="shared" si="0"/>
        <v>916.26837679230437</v>
      </c>
      <c r="H32" s="7" t="s">
        <v>127</v>
      </c>
      <c r="I32" s="4">
        <v>2</v>
      </c>
      <c r="J32" s="19" t="s">
        <v>143</v>
      </c>
      <c r="K32" s="7" t="s">
        <v>4</v>
      </c>
      <c r="L32" s="7" t="s">
        <v>128</v>
      </c>
      <c r="M32" s="5"/>
      <c r="N32" s="5"/>
      <c r="O32" s="5">
        <v>37.86</v>
      </c>
      <c r="P32" s="5"/>
      <c r="Q32" s="5">
        <v>157.9</v>
      </c>
      <c r="R32" s="5"/>
      <c r="S32" s="5"/>
      <c r="T32" s="5"/>
      <c r="U32" s="5"/>
      <c r="V32" s="5"/>
      <c r="W32" s="5"/>
      <c r="X32" s="5"/>
      <c r="Y32" s="5"/>
      <c r="Z32" s="5">
        <v>1685</v>
      </c>
      <c r="AA32" s="5">
        <v>15.5</v>
      </c>
      <c r="AB32" s="23">
        <f t="shared" si="19"/>
        <v>1675.0882352941176</v>
      </c>
      <c r="AC32" s="24">
        <f t="shared" si="5"/>
        <v>1.828163317344105</v>
      </c>
      <c r="AD32" s="24">
        <f t="shared" si="6"/>
        <v>553.01940349659174</v>
      </c>
      <c r="AE32" s="21">
        <f t="shared" si="11"/>
        <v>8.1712600000000002</v>
      </c>
      <c r="AF32" s="21">
        <v>13</v>
      </c>
      <c r="AG32" s="25">
        <f t="shared" si="12"/>
        <v>24.750635162141769</v>
      </c>
      <c r="AH32" s="5">
        <v>0.2</v>
      </c>
      <c r="AI32" s="7">
        <v>6</v>
      </c>
      <c r="AJ32" s="7">
        <v>6</v>
      </c>
      <c r="AK32" s="5">
        <v>20</v>
      </c>
      <c r="AL32" s="5">
        <f t="shared" si="20"/>
        <v>4</v>
      </c>
      <c r="AM32" s="5">
        <f t="shared" si="21"/>
        <v>24</v>
      </c>
      <c r="AN32" s="5">
        <v>1.1499999999999999</v>
      </c>
      <c r="AO32" s="5">
        <v>20</v>
      </c>
      <c r="AP32" s="5">
        <v>0.46</v>
      </c>
      <c r="AQ32" s="5">
        <f t="shared" si="22"/>
        <v>10.58</v>
      </c>
      <c r="AR32" s="5">
        <f t="shared" si="18"/>
        <v>34.58</v>
      </c>
      <c r="AS32" s="25">
        <f t="shared" si="23"/>
        <v>11.416360386266094</v>
      </c>
    </row>
    <row r="33" spans="1:45" x14ac:dyDescent="0.3">
      <c r="A33" s="7" t="s">
        <v>101</v>
      </c>
      <c r="B33" s="7">
        <v>2025</v>
      </c>
      <c r="C33" s="7" t="s">
        <v>121</v>
      </c>
      <c r="D33" s="29" t="s">
        <v>122</v>
      </c>
      <c r="E33" s="8" t="s">
        <v>104</v>
      </c>
      <c r="F33" s="4">
        <v>2129</v>
      </c>
      <c r="G33" s="4">
        <f t="shared" si="0"/>
        <v>644.01960191179137</v>
      </c>
      <c r="H33" s="7" t="s">
        <v>127</v>
      </c>
      <c r="I33" s="4">
        <v>2</v>
      </c>
      <c r="J33" s="19" t="s">
        <v>143</v>
      </c>
      <c r="K33" s="7" t="s">
        <v>4</v>
      </c>
      <c r="L33" s="7" t="s">
        <v>128</v>
      </c>
      <c r="M33" s="5"/>
      <c r="N33" s="5"/>
      <c r="O33" s="5">
        <v>31.35</v>
      </c>
      <c r="P33" s="5"/>
      <c r="Q33" s="5">
        <v>250.7</v>
      </c>
      <c r="R33" s="5"/>
      <c r="S33" s="5"/>
      <c r="T33" s="5"/>
      <c r="U33" s="5"/>
      <c r="V33" s="5"/>
      <c r="W33" s="5"/>
      <c r="X33" s="5"/>
      <c r="Y33" s="5"/>
      <c r="Z33" s="5">
        <v>1341</v>
      </c>
      <c r="AA33" s="5">
        <v>15.5</v>
      </c>
      <c r="AB33" s="23">
        <f t="shared" si="19"/>
        <v>1333.1117647058823</v>
      </c>
      <c r="AC33" s="24">
        <f t="shared" si="5"/>
        <v>2.0699863183488518</v>
      </c>
      <c r="AD33" s="24">
        <f t="shared" si="6"/>
        <v>626.17086130052769</v>
      </c>
      <c r="AE33" s="21">
        <f t="shared" si="11"/>
        <v>10.73685</v>
      </c>
      <c r="AF33" s="21">
        <v>13</v>
      </c>
      <c r="AG33" s="25">
        <f t="shared" si="12"/>
        <v>22.858650786071461</v>
      </c>
      <c r="AH33" s="5">
        <v>0.2</v>
      </c>
      <c r="AI33" s="7">
        <v>5</v>
      </c>
      <c r="AJ33" s="7">
        <v>5</v>
      </c>
      <c r="AK33" s="5">
        <v>20</v>
      </c>
      <c r="AL33" s="5">
        <f t="shared" si="20"/>
        <v>4</v>
      </c>
      <c r="AM33" s="5">
        <f t="shared" si="21"/>
        <v>20</v>
      </c>
      <c r="AN33" s="5">
        <v>0.8</v>
      </c>
      <c r="AO33" s="5">
        <v>20</v>
      </c>
      <c r="AP33" s="5">
        <v>0.46</v>
      </c>
      <c r="AQ33" s="5">
        <f t="shared" si="22"/>
        <v>7.36</v>
      </c>
      <c r="AR33" s="5">
        <f t="shared" si="18"/>
        <v>27.36</v>
      </c>
      <c r="AS33" s="25">
        <f t="shared" si="23"/>
        <v>12.851161634570222</v>
      </c>
    </row>
    <row r="34" spans="1:45" x14ac:dyDescent="0.3">
      <c r="A34" s="7" t="s">
        <v>101</v>
      </c>
      <c r="B34" s="7">
        <v>2025</v>
      </c>
      <c r="C34" s="7" t="s">
        <v>123</v>
      </c>
      <c r="D34" s="29" t="s">
        <v>124</v>
      </c>
      <c r="E34" s="8" t="s">
        <v>104</v>
      </c>
      <c r="F34" s="4">
        <v>3002</v>
      </c>
      <c r="G34" s="4">
        <f t="shared" si="0"/>
        <v>908.10091354588906</v>
      </c>
      <c r="H34" s="7" t="s">
        <v>127</v>
      </c>
      <c r="I34" s="4">
        <v>2</v>
      </c>
      <c r="J34" s="19" t="s">
        <v>143</v>
      </c>
      <c r="K34" s="7" t="s">
        <v>4</v>
      </c>
      <c r="L34" s="7" t="s">
        <v>128</v>
      </c>
      <c r="M34" s="5"/>
      <c r="N34" s="5"/>
      <c r="O34" s="5">
        <v>37.42</v>
      </c>
      <c r="P34" s="5"/>
      <c r="Q34" s="5">
        <v>380.7</v>
      </c>
      <c r="R34" s="5"/>
      <c r="S34" s="5"/>
      <c r="T34" s="5"/>
      <c r="U34" s="5"/>
      <c r="V34" s="5"/>
      <c r="W34" s="5"/>
      <c r="X34" s="5"/>
      <c r="Y34" s="5"/>
      <c r="Z34" s="5">
        <v>1804</v>
      </c>
      <c r="AA34" s="5">
        <v>15.5</v>
      </c>
      <c r="AB34" s="23">
        <f t="shared" si="19"/>
        <v>1793.3882352941177</v>
      </c>
      <c r="AC34" s="24">
        <f t="shared" si="5"/>
        <v>1.9748776909511307</v>
      </c>
      <c r="AD34" s="24">
        <f t="shared" si="6"/>
        <v>597.40050151271703</v>
      </c>
      <c r="AE34" s="21">
        <f t="shared" si="11"/>
        <v>12.675219999999999</v>
      </c>
      <c r="AF34" s="21">
        <v>13</v>
      </c>
      <c r="AG34" s="25">
        <f t="shared" si="12"/>
        <v>38.050839211223547</v>
      </c>
      <c r="AH34" s="5">
        <v>0.2</v>
      </c>
      <c r="AI34" s="7">
        <v>9</v>
      </c>
      <c r="AJ34" s="7">
        <v>9</v>
      </c>
      <c r="AK34" s="5">
        <v>20</v>
      </c>
      <c r="AL34" s="5">
        <f t="shared" si="20"/>
        <v>4</v>
      </c>
      <c r="AM34" s="5">
        <f t="shared" si="21"/>
        <v>36</v>
      </c>
      <c r="AN34" s="5">
        <v>1.1499999999999999</v>
      </c>
      <c r="AO34" s="5">
        <v>20</v>
      </c>
      <c r="AP34" s="5">
        <v>0.46</v>
      </c>
      <c r="AQ34" s="5">
        <f t="shared" si="22"/>
        <v>10.58</v>
      </c>
      <c r="AR34" s="5">
        <f t="shared" si="18"/>
        <v>46.58</v>
      </c>
      <c r="AS34" s="25">
        <f t="shared" si="23"/>
        <v>15.516392275149899</v>
      </c>
    </row>
    <row r="35" spans="1:45" x14ac:dyDescent="0.3">
      <c r="A35" s="12" t="s">
        <v>101</v>
      </c>
      <c r="B35" s="12">
        <v>2025</v>
      </c>
      <c r="C35" s="12" t="s">
        <v>125</v>
      </c>
      <c r="D35" s="32" t="s">
        <v>126</v>
      </c>
      <c r="E35" s="33" t="s">
        <v>104</v>
      </c>
      <c r="F35" s="13">
        <v>2380</v>
      </c>
      <c r="G35" s="4">
        <f t="shared" si="0"/>
        <v>719.94676023957891</v>
      </c>
      <c r="H35" s="7" t="s">
        <v>127</v>
      </c>
      <c r="I35" s="4">
        <v>2</v>
      </c>
      <c r="J35" s="19" t="s">
        <v>143</v>
      </c>
      <c r="K35" s="12" t="s">
        <v>4</v>
      </c>
      <c r="L35" s="12" t="s">
        <v>128</v>
      </c>
      <c r="M35" s="5"/>
      <c r="N35" s="5"/>
      <c r="O35" s="5">
        <v>39.18</v>
      </c>
      <c r="P35" s="5"/>
      <c r="Q35" s="5">
        <v>63.2</v>
      </c>
      <c r="R35" s="5"/>
      <c r="S35" s="5"/>
      <c r="T35" s="5"/>
      <c r="U35" s="5"/>
      <c r="V35" s="5"/>
      <c r="W35" s="5"/>
      <c r="X35" s="5"/>
      <c r="Y35" s="5"/>
      <c r="Z35" s="5">
        <v>1448</v>
      </c>
      <c r="AA35" s="5">
        <v>15.5</v>
      </c>
      <c r="AB35" s="23">
        <f t="shared" si="19"/>
        <v>1439.4823529411765</v>
      </c>
      <c r="AC35" s="24">
        <f t="shared" si="5"/>
        <v>1.9994288917449334</v>
      </c>
      <c r="AD35" s="24">
        <f t="shared" si="6"/>
        <v>604.82723975284239</v>
      </c>
      <c r="AE35" s="21">
        <f t="shared" si="11"/>
        <v>6.1333800000000007</v>
      </c>
      <c r="AF35" s="21">
        <v>13</v>
      </c>
      <c r="AG35" s="25">
        <f t="shared" si="12"/>
        <v>14.597378711795798</v>
      </c>
      <c r="AH35" s="5">
        <v>0.2</v>
      </c>
      <c r="AI35" s="7">
        <v>3</v>
      </c>
      <c r="AJ35" s="7">
        <v>3</v>
      </c>
      <c r="AK35" s="5">
        <v>20</v>
      </c>
      <c r="AL35" s="5">
        <f t="shared" si="20"/>
        <v>4</v>
      </c>
      <c r="AM35" s="5">
        <f t="shared" si="21"/>
        <v>12</v>
      </c>
      <c r="AN35" s="5">
        <v>0.9</v>
      </c>
      <c r="AO35" s="5">
        <v>20</v>
      </c>
      <c r="AP35" s="5">
        <v>0.46</v>
      </c>
      <c r="AQ35" s="5">
        <f t="shared" si="22"/>
        <v>8.2800000000000011</v>
      </c>
      <c r="AR35" s="5">
        <f t="shared" si="18"/>
        <v>20.28</v>
      </c>
      <c r="AS35" s="25">
        <f t="shared" si="23"/>
        <v>8.5210467478991614</v>
      </c>
    </row>
    <row r="36" spans="1:45" x14ac:dyDescent="0.3">
      <c r="A36" s="12" t="s">
        <v>101</v>
      </c>
      <c r="B36" s="12">
        <v>2025</v>
      </c>
      <c r="C36" s="14" t="s">
        <v>73</v>
      </c>
      <c r="D36" s="32" t="s">
        <v>151</v>
      </c>
      <c r="E36" s="33" t="s">
        <v>104</v>
      </c>
      <c r="F36" s="13">
        <v>1683</v>
      </c>
      <c r="G36" s="4">
        <f t="shared" si="0"/>
        <v>509.10520902655935</v>
      </c>
      <c r="H36" s="4" t="s">
        <v>127</v>
      </c>
      <c r="I36" s="4">
        <v>4</v>
      </c>
      <c r="J36" s="19" t="s">
        <v>145</v>
      </c>
      <c r="K36" s="12" t="s">
        <v>4</v>
      </c>
      <c r="L36" s="12" t="s">
        <v>128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>
        <v>1167</v>
      </c>
      <c r="AA36" s="5">
        <v>15.5</v>
      </c>
      <c r="AB36" s="23">
        <f t="shared" si="19"/>
        <v>1160.1352941176472</v>
      </c>
      <c r="AC36" s="24">
        <f t="shared" ref="AC36:AC37" si="24">AB36/G36</f>
        <v>2.2787731760511694</v>
      </c>
      <c r="AD36" s="24">
        <f t="shared" ref="AD36:AD37" si="25">AB36*302.5/G36</f>
        <v>689.32888575547872</v>
      </c>
      <c r="AE36" s="21">
        <f t="shared" si="11"/>
        <v>9.14</v>
      </c>
      <c r="AF36" s="21">
        <v>13</v>
      </c>
      <c r="AG36" s="25">
        <f t="shared" si="12"/>
        <v>15.382550778521496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</row>
    <row r="37" spans="1:45" x14ac:dyDescent="0.3">
      <c r="A37" s="12" t="s">
        <v>101</v>
      </c>
      <c r="B37" s="12">
        <v>2025</v>
      </c>
      <c r="C37" s="14" t="s">
        <v>73</v>
      </c>
      <c r="D37" s="32" t="s">
        <v>152</v>
      </c>
      <c r="E37" s="33" t="s">
        <v>104</v>
      </c>
      <c r="F37" s="13">
        <v>2000</v>
      </c>
      <c r="G37" s="4">
        <f t="shared" si="0"/>
        <v>604.99727751225123</v>
      </c>
      <c r="H37" s="4" t="s">
        <v>127</v>
      </c>
      <c r="I37" s="4">
        <v>4</v>
      </c>
      <c r="J37" s="19" t="s">
        <v>145</v>
      </c>
      <c r="K37" s="12" t="s">
        <v>4</v>
      </c>
      <c r="L37" s="12" t="s">
        <v>128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>
        <v>1403</v>
      </c>
      <c r="AA37" s="5">
        <v>15.5</v>
      </c>
      <c r="AB37" s="23">
        <f t="shared" si="19"/>
        <v>1394.7470588235294</v>
      </c>
      <c r="AC37" s="24">
        <f t="shared" si="24"/>
        <v>2.3053774135294116</v>
      </c>
      <c r="AD37" s="24">
        <f t="shared" si="25"/>
        <v>697.37666759264698</v>
      </c>
      <c r="AE37" s="21">
        <f t="shared" si="11"/>
        <v>9.14</v>
      </c>
      <c r="AF37" s="21">
        <v>13</v>
      </c>
      <c r="AG37" s="25">
        <f t="shared" si="12"/>
        <v>18.27991774037017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</row>
    <row r="38" spans="1:45" ht="17.25" x14ac:dyDescent="0.3">
      <c r="A38" s="7" t="s">
        <v>0</v>
      </c>
      <c r="B38" s="7">
        <v>2024</v>
      </c>
      <c r="C38" s="7" t="s">
        <v>132</v>
      </c>
      <c r="D38" s="5" t="s">
        <v>133</v>
      </c>
      <c r="E38" s="8" t="s">
        <v>3</v>
      </c>
      <c r="F38" s="4">
        <v>4000</v>
      </c>
      <c r="G38" s="4">
        <f t="shared" si="0"/>
        <v>1209.9945550245025</v>
      </c>
      <c r="H38" s="4" t="s">
        <v>154</v>
      </c>
      <c r="I38" s="4">
        <v>0</v>
      </c>
      <c r="J38" s="19" t="s">
        <v>142</v>
      </c>
      <c r="K38" s="7" t="s">
        <v>4</v>
      </c>
      <c r="L38" s="7" t="s">
        <v>19</v>
      </c>
      <c r="M38" s="34">
        <v>6.7</v>
      </c>
      <c r="N38" s="34">
        <v>0.2</v>
      </c>
      <c r="O38" s="35">
        <v>21</v>
      </c>
      <c r="P38" s="35">
        <v>33</v>
      </c>
      <c r="Q38" s="35">
        <v>553</v>
      </c>
      <c r="R38" s="36">
        <v>0.13</v>
      </c>
      <c r="S38" s="34">
        <v>7.4</v>
      </c>
      <c r="T38" s="34">
        <v>1.5</v>
      </c>
      <c r="U38" s="5"/>
      <c r="V38" s="5"/>
      <c r="W38" s="5"/>
      <c r="X38" s="5"/>
      <c r="Y38" s="5"/>
      <c r="Z38" s="5">
        <v>2868</v>
      </c>
      <c r="AA38" s="5">
        <v>25</v>
      </c>
      <c r="AB38" s="23">
        <f t="shared" si="19"/>
        <v>2530.5882352941176</v>
      </c>
      <c r="AC38" s="24">
        <f t="shared" ref="AC38:AC42" si="26">AB38/G38</f>
        <v>2.0914046470588232</v>
      </c>
      <c r="AD38" s="24">
        <f t="shared" ref="AD38:AD42" si="27">AB38*302.5/G38</f>
        <v>632.64990573529406</v>
      </c>
      <c r="AE38" s="21">
        <f t="shared" si="11"/>
        <v>17.911000000000001</v>
      </c>
      <c r="AF38" s="21">
        <v>13</v>
      </c>
      <c r="AG38" s="25">
        <f t="shared" si="12"/>
        <v>51.999766001052997</v>
      </c>
      <c r="AH38" s="5">
        <v>0.33</v>
      </c>
      <c r="AI38" s="38">
        <v>11</v>
      </c>
      <c r="AJ38" s="38">
        <v>9</v>
      </c>
      <c r="AK38" s="5">
        <v>20</v>
      </c>
      <c r="AL38" s="5">
        <f t="shared" ref="AL38:AL42" si="28">AK38*AH38</f>
        <v>6.6000000000000005</v>
      </c>
      <c r="AM38" s="5">
        <f t="shared" ref="AM38:AM42" si="29">AL38*AJ38</f>
        <v>59.400000000000006</v>
      </c>
      <c r="AN38" s="5">
        <v>3</v>
      </c>
      <c r="AO38" s="5">
        <v>20</v>
      </c>
      <c r="AP38" s="5">
        <v>0.46</v>
      </c>
      <c r="AQ38" s="5">
        <f t="shared" ref="AQ38:AQ51" si="30">AN38*AO38*AP38</f>
        <v>27.6</v>
      </c>
      <c r="AR38" s="5">
        <f t="shared" ref="AR38:AR51" si="31">AM38+AQ38</f>
        <v>87</v>
      </c>
      <c r="AS38" s="25">
        <f t="shared" ref="AS38:AS51" si="32">AR38*302.5/G38</f>
        <v>21.750097874999998</v>
      </c>
    </row>
    <row r="39" spans="1:45" ht="17.25" x14ac:dyDescent="0.3">
      <c r="A39" s="7" t="s">
        <v>0</v>
      </c>
      <c r="B39" s="7">
        <v>2024</v>
      </c>
      <c r="C39" s="7" t="s">
        <v>134</v>
      </c>
      <c r="D39" s="5" t="s">
        <v>135</v>
      </c>
      <c r="E39" s="8" t="s">
        <v>3</v>
      </c>
      <c r="F39" s="4">
        <v>4000</v>
      </c>
      <c r="G39" s="4">
        <f t="shared" si="0"/>
        <v>1209.9945550245025</v>
      </c>
      <c r="H39" s="4" t="s">
        <v>154</v>
      </c>
      <c r="I39" s="4">
        <v>0</v>
      </c>
      <c r="J39" s="19" t="s">
        <v>143</v>
      </c>
      <c r="K39" s="7" t="s">
        <v>4</v>
      </c>
      <c r="L39" s="7" t="s">
        <v>19</v>
      </c>
      <c r="M39" s="34">
        <v>7.1</v>
      </c>
      <c r="N39" s="34">
        <v>0.2</v>
      </c>
      <c r="O39" s="35">
        <v>30</v>
      </c>
      <c r="P39" s="35">
        <v>41</v>
      </c>
      <c r="Q39" s="35">
        <v>251</v>
      </c>
      <c r="R39" s="36">
        <v>0.18</v>
      </c>
      <c r="S39" s="34">
        <v>7.3</v>
      </c>
      <c r="T39" s="34">
        <v>1.5</v>
      </c>
      <c r="U39" s="5"/>
      <c r="V39" s="5"/>
      <c r="W39" s="5"/>
      <c r="X39" s="5"/>
      <c r="Y39" s="5"/>
      <c r="Z39" s="5">
        <v>3236</v>
      </c>
      <c r="AA39" s="5">
        <v>28.5</v>
      </c>
      <c r="AB39" s="23">
        <f t="shared" si="19"/>
        <v>2722.0470588235294</v>
      </c>
      <c r="AC39" s="24">
        <f t="shared" si="26"/>
        <v>2.2496357917647058</v>
      </c>
      <c r="AD39" s="24">
        <f t="shared" si="27"/>
        <v>680.51482700882343</v>
      </c>
      <c r="AE39" s="21">
        <f t="shared" si="11"/>
        <v>10.89</v>
      </c>
      <c r="AF39" s="21">
        <v>13</v>
      </c>
      <c r="AG39" s="25">
        <f t="shared" si="12"/>
        <v>43.559803980882094</v>
      </c>
      <c r="AH39" s="5">
        <v>0.33</v>
      </c>
      <c r="AI39" s="38">
        <v>9</v>
      </c>
      <c r="AJ39" s="38">
        <v>9</v>
      </c>
      <c r="AK39" s="5">
        <v>20</v>
      </c>
      <c r="AL39" s="5">
        <f t="shared" si="28"/>
        <v>6.6000000000000005</v>
      </c>
      <c r="AM39" s="5">
        <f t="shared" si="29"/>
        <v>59.400000000000006</v>
      </c>
      <c r="AN39" s="5">
        <v>3</v>
      </c>
      <c r="AO39" s="5">
        <v>20</v>
      </c>
      <c r="AP39" s="5">
        <v>0.46</v>
      </c>
      <c r="AQ39" s="5">
        <f t="shared" si="30"/>
        <v>27.6</v>
      </c>
      <c r="AR39" s="5">
        <f t="shared" si="31"/>
        <v>87</v>
      </c>
      <c r="AS39" s="25">
        <f t="shared" si="32"/>
        <v>21.750097874999998</v>
      </c>
    </row>
    <row r="40" spans="1:45" ht="17.25" x14ac:dyDescent="0.3">
      <c r="A40" s="7" t="s">
        <v>0</v>
      </c>
      <c r="B40" s="7">
        <v>2024</v>
      </c>
      <c r="C40" s="7" t="s">
        <v>136</v>
      </c>
      <c r="D40" s="5" t="s">
        <v>137</v>
      </c>
      <c r="E40" s="8" t="s">
        <v>3</v>
      </c>
      <c r="F40" s="4">
        <v>4000</v>
      </c>
      <c r="G40" s="4">
        <f t="shared" si="0"/>
        <v>1209.9945550245025</v>
      </c>
      <c r="H40" s="4" t="s">
        <v>154</v>
      </c>
      <c r="I40" s="4">
        <v>0</v>
      </c>
      <c r="J40" s="19" t="s">
        <v>147</v>
      </c>
      <c r="K40" s="7" t="s">
        <v>4</v>
      </c>
      <c r="L40" s="7" t="s">
        <v>19</v>
      </c>
      <c r="M40" s="34">
        <v>6.8</v>
      </c>
      <c r="N40" s="34">
        <v>0.3</v>
      </c>
      <c r="O40" s="35">
        <v>28</v>
      </c>
      <c r="P40" s="35">
        <v>37</v>
      </c>
      <c r="Q40" s="35">
        <v>348</v>
      </c>
      <c r="R40" s="36">
        <v>0.21</v>
      </c>
      <c r="S40" s="34">
        <v>7.7</v>
      </c>
      <c r="T40" s="34">
        <v>1.7</v>
      </c>
      <c r="U40" s="5"/>
      <c r="V40" s="5"/>
      <c r="W40" s="5"/>
      <c r="X40" s="5"/>
      <c r="Y40" s="5"/>
      <c r="Z40" s="5">
        <v>3045</v>
      </c>
      <c r="AA40" s="5">
        <v>25.6</v>
      </c>
      <c r="AB40" s="23">
        <f t="shared" si="19"/>
        <v>2665.2705882352943</v>
      </c>
      <c r="AC40" s="24">
        <f t="shared" si="26"/>
        <v>2.202712877647059</v>
      </c>
      <c r="AD40" s="24">
        <f t="shared" si="27"/>
        <v>666.3206454882353</v>
      </c>
      <c r="AE40" s="21">
        <f t="shared" si="11"/>
        <v>13.048000000000002</v>
      </c>
      <c r="AF40" s="21">
        <v>13</v>
      </c>
      <c r="AG40" s="25">
        <f t="shared" si="12"/>
        <v>51.999766001052997</v>
      </c>
      <c r="AH40" s="5">
        <v>0.33</v>
      </c>
      <c r="AI40" s="38">
        <v>11</v>
      </c>
      <c r="AJ40" s="38">
        <v>12</v>
      </c>
      <c r="AK40" s="5">
        <v>20</v>
      </c>
      <c r="AL40" s="5">
        <f t="shared" si="28"/>
        <v>6.6000000000000005</v>
      </c>
      <c r="AM40" s="5">
        <f t="shared" si="29"/>
        <v>79.2</v>
      </c>
      <c r="AN40" s="5">
        <v>3</v>
      </c>
      <c r="AO40" s="5">
        <v>20</v>
      </c>
      <c r="AP40" s="5">
        <v>0.46</v>
      </c>
      <c r="AQ40" s="5">
        <f t="shared" si="30"/>
        <v>27.6</v>
      </c>
      <c r="AR40" s="5">
        <f t="shared" si="31"/>
        <v>106.80000000000001</v>
      </c>
      <c r="AS40" s="25">
        <f t="shared" si="32"/>
        <v>26.70012015</v>
      </c>
    </row>
    <row r="41" spans="1:45" ht="17.25" x14ac:dyDescent="0.3">
      <c r="A41" s="7" t="s">
        <v>0</v>
      </c>
      <c r="B41" s="7">
        <v>2024</v>
      </c>
      <c r="C41" s="7" t="s">
        <v>138</v>
      </c>
      <c r="D41" s="5" t="s">
        <v>139</v>
      </c>
      <c r="E41" s="8" t="s">
        <v>3</v>
      </c>
      <c r="F41" s="4">
        <v>3980</v>
      </c>
      <c r="G41" s="4">
        <f t="shared" si="0"/>
        <v>1203.9445822493799</v>
      </c>
      <c r="H41" s="4" t="s">
        <v>154</v>
      </c>
      <c r="I41" s="4">
        <v>0</v>
      </c>
      <c r="J41" s="19" t="s">
        <v>147</v>
      </c>
      <c r="K41" s="7" t="s">
        <v>4</v>
      </c>
      <c r="L41" s="7" t="s">
        <v>19</v>
      </c>
      <c r="M41" s="34">
        <v>7.3</v>
      </c>
      <c r="N41" s="34">
        <v>0.3</v>
      </c>
      <c r="O41" s="35">
        <v>20</v>
      </c>
      <c r="P41" s="35">
        <v>31</v>
      </c>
      <c r="Q41" s="35">
        <v>656</v>
      </c>
      <c r="R41" s="36">
        <v>0.22</v>
      </c>
      <c r="S41" s="34">
        <v>8.6999999999999993</v>
      </c>
      <c r="T41" s="34">
        <v>1.9</v>
      </c>
      <c r="U41" s="5"/>
      <c r="V41" s="5"/>
      <c r="W41" s="5"/>
      <c r="X41" s="5"/>
      <c r="Y41" s="5"/>
      <c r="Z41" s="5">
        <v>3158</v>
      </c>
      <c r="AA41" s="5">
        <v>26.3</v>
      </c>
      <c r="AB41" s="23">
        <f t="shared" si="19"/>
        <v>2738.1717647058822</v>
      </c>
      <c r="AC41" s="24">
        <f t="shared" si="26"/>
        <v>2.2743337235589713</v>
      </c>
      <c r="AD41" s="24">
        <f t="shared" si="27"/>
        <v>687.98595137658879</v>
      </c>
      <c r="AE41" s="21">
        <f t="shared" si="11"/>
        <v>20.080000000000002</v>
      </c>
      <c r="AF41" s="21">
        <v>13</v>
      </c>
      <c r="AG41" s="25">
        <f t="shared" si="12"/>
        <v>51.739767171047731</v>
      </c>
      <c r="AH41" s="5">
        <v>0.33</v>
      </c>
      <c r="AI41" s="38">
        <v>10</v>
      </c>
      <c r="AJ41" s="38">
        <v>15</v>
      </c>
      <c r="AK41" s="5">
        <v>20</v>
      </c>
      <c r="AL41" s="5">
        <f t="shared" si="28"/>
        <v>6.6000000000000005</v>
      </c>
      <c r="AM41" s="5">
        <f t="shared" si="29"/>
        <v>99.000000000000014</v>
      </c>
      <c r="AN41" s="5">
        <v>3</v>
      </c>
      <c r="AO41" s="5">
        <v>20</v>
      </c>
      <c r="AP41" s="5">
        <v>0.46</v>
      </c>
      <c r="AQ41" s="5">
        <f t="shared" si="30"/>
        <v>27.6</v>
      </c>
      <c r="AR41" s="5">
        <f t="shared" si="31"/>
        <v>126.60000000000002</v>
      </c>
      <c r="AS41" s="25">
        <f t="shared" si="32"/>
        <v>31.809188366834178</v>
      </c>
    </row>
    <row r="42" spans="1:45" ht="17.25" x14ac:dyDescent="0.3">
      <c r="A42" s="7" t="s">
        <v>0</v>
      </c>
      <c r="B42" s="7">
        <v>2024</v>
      </c>
      <c r="C42" s="7" t="s">
        <v>140</v>
      </c>
      <c r="D42" s="5" t="s">
        <v>141</v>
      </c>
      <c r="E42" s="8" t="s">
        <v>3</v>
      </c>
      <c r="F42" s="4">
        <v>4000</v>
      </c>
      <c r="G42" s="4">
        <f t="shared" si="0"/>
        <v>1209.9945550245025</v>
      </c>
      <c r="H42" s="4" t="s">
        <v>154</v>
      </c>
      <c r="I42" s="4">
        <v>0</v>
      </c>
      <c r="J42" s="19" t="s">
        <v>147</v>
      </c>
      <c r="K42" s="7" t="s">
        <v>4</v>
      </c>
      <c r="L42" s="7" t="s">
        <v>19</v>
      </c>
      <c r="M42" s="34">
        <v>6.7</v>
      </c>
      <c r="N42" s="34">
        <v>0.4</v>
      </c>
      <c r="O42" s="35">
        <v>19</v>
      </c>
      <c r="P42" s="35">
        <v>29</v>
      </c>
      <c r="Q42" s="35">
        <v>474</v>
      </c>
      <c r="R42" s="36">
        <v>0.18</v>
      </c>
      <c r="S42" s="34">
        <v>7.1</v>
      </c>
      <c r="T42" s="34">
        <v>1.7</v>
      </c>
      <c r="U42" s="5"/>
      <c r="V42" s="5"/>
      <c r="W42" s="5"/>
      <c r="X42" s="5"/>
      <c r="Y42" s="5"/>
      <c r="Z42" s="5">
        <v>2680</v>
      </c>
      <c r="AA42" s="5">
        <v>27</v>
      </c>
      <c r="AB42" s="23">
        <f t="shared" si="19"/>
        <v>2301.6470588235293</v>
      </c>
      <c r="AC42" s="24">
        <f t="shared" si="26"/>
        <v>1.9021962117647058</v>
      </c>
      <c r="AD42" s="24">
        <f t="shared" si="27"/>
        <v>575.41435405882351</v>
      </c>
      <c r="AE42" s="21">
        <f t="shared" si="11"/>
        <v>16.548999999999999</v>
      </c>
      <c r="AF42" s="21">
        <v>13</v>
      </c>
      <c r="AG42" s="25">
        <f t="shared" si="12"/>
        <v>51.999766001052997</v>
      </c>
      <c r="AH42" s="5">
        <v>0.33</v>
      </c>
      <c r="AI42" s="38">
        <v>11</v>
      </c>
      <c r="AJ42" s="38">
        <v>13</v>
      </c>
      <c r="AK42" s="5">
        <v>20</v>
      </c>
      <c r="AL42" s="5">
        <f t="shared" si="28"/>
        <v>6.6000000000000005</v>
      </c>
      <c r="AM42" s="5">
        <f t="shared" si="29"/>
        <v>85.800000000000011</v>
      </c>
      <c r="AN42" s="5">
        <v>3</v>
      </c>
      <c r="AO42" s="5">
        <v>20</v>
      </c>
      <c r="AP42" s="5">
        <v>0.46</v>
      </c>
      <c r="AQ42" s="5">
        <f t="shared" si="30"/>
        <v>27.6</v>
      </c>
      <c r="AR42" s="5">
        <f t="shared" si="31"/>
        <v>113.4</v>
      </c>
      <c r="AS42" s="25">
        <f t="shared" si="32"/>
        <v>28.350127574999998</v>
      </c>
    </row>
    <row r="43" spans="1:45" x14ac:dyDescent="0.3">
      <c r="A43" s="7" t="s">
        <v>0</v>
      </c>
      <c r="B43" s="7">
        <v>2024</v>
      </c>
      <c r="C43" s="7" t="s">
        <v>156</v>
      </c>
      <c r="D43" s="5" t="s">
        <v>157</v>
      </c>
      <c r="E43" s="8" t="s">
        <v>22</v>
      </c>
      <c r="F43" s="4">
        <v>5000</v>
      </c>
      <c r="G43" s="4">
        <f t="shared" si="0"/>
        <v>1512.493193780628</v>
      </c>
      <c r="H43" s="4" t="s">
        <v>154</v>
      </c>
      <c r="I43" s="4">
        <v>0</v>
      </c>
      <c r="J43" s="19" t="s">
        <v>174</v>
      </c>
      <c r="K43" s="7" t="s">
        <v>4</v>
      </c>
      <c r="L43" s="7" t="s">
        <v>19</v>
      </c>
      <c r="M43" s="16">
        <v>6.4</v>
      </c>
      <c r="N43" s="16">
        <v>1.4</v>
      </c>
      <c r="O43" s="17">
        <v>27</v>
      </c>
      <c r="P43" s="17">
        <v>60</v>
      </c>
      <c r="Q43" s="17">
        <v>1169</v>
      </c>
      <c r="R43" s="18">
        <v>0.54</v>
      </c>
      <c r="S43" s="16">
        <v>8.3000000000000007</v>
      </c>
      <c r="T43" s="16">
        <v>2.2000000000000002</v>
      </c>
      <c r="U43" s="5"/>
      <c r="V43" s="5"/>
      <c r="W43" s="5"/>
      <c r="X43" s="5"/>
      <c r="Y43" s="5"/>
      <c r="Z43" s="5">
        <v>3300</v>
      </c>
      <c r="AA43" s="5">
        <v>25.3</v>
      </c>
      <c r="AB43" s="23">
        <f t="shared" ref="AB43:AB51" si="33">Z43*(100-AA43)/(100-15)</f>
        <v>2900.1176470588234</v>
      </c>
      <c r="AC43" s="24">
        <f t="shared" ref="AC43:AC51" si="34">AB43/G43</f>
        <v>1.9174417835294117</v>
      </c>
      <c r="AD43" s="24">
        <f t="shared" ref="AD43:AD51" si="35">AB43*302.5/G43</f>
        <v>580.02613951764704</v>
      </c>
      <c r="AE43" s="21">
        <f t="shared" ref="AE43:AE51" si="36">9.14-(0.109*O43)+(0.02*Q43)</f>
        <v>29.576999999999998</v>
      </c>
      <c r="AF43" s="21">
        <v>14</v>
      </c>
      <c r="AG43" s="25">
        <f t="shared" ref="AG43:AG51" si="37">IF(AE43&lt;AF43, AE43*G43/302.5, AF43*G43/302.5)</f>
        <v>69.99968500141749</v>
      </c>
      <c r="AH43" s="5">
        <v>0.3</v>
      </c>
      <c r="AI43" s="37">
        <v>11</v>
      </c>
      <c r="AJ43" s="7">
        <v>12</v>
      </c>
      <c r="AK43" s="5">
        <v>20</v>
      </c>
      <c r="AL43" s="5">
        <f t="shared" ref="AL43:AL51" si="38">AK43*AH43</f>
        <v>6</v>
      </c>
      <c r="AM43" s="5">
        <f t="shared" ref="AM43:AM51" si="39">AL43*AJ43</f>
        <v>72</v>
      </c>
      <c r="AN43" s="5">
        <v>3</v>
      </c>
      <c r="AO43" s="5">
        <v>20</v>
      </c>
      <c r="AP43" s="5">
        <v>0.46</v>
      </c>
      <c r="AQ43" s="5">
        <f t="shared" si="30"/>
        <v>27.6</v>
      </c>
      <c r="AR43" s="5">
        <f t="shared" si="31"/>
        <v>99.6</v>
      </c>
      <c r="AS43" s="25">
        <f t="shared" si="32"/>
        <v>19.92008964</v>
      </c>
    </row>
    <row r="44" spans="1:45" x14ac:dyDescent="0.3">
      <c r="A44" s="7" t="s">
        <v>0</v>
      </c>
      <c r="B44" s="7">
        <v>2024</v>
      </c>
      <c r="C44" s="7" t="s">
        <v>158</v>
      </c>
      <c r="D44" s="5" t="s">
        <v>159</v>
      </c>
      <c r="E44" s="8" t="s">
        <v>22</v>
      </c>
      <c r="F44" s="4">
        <v>4000</v>
      </c>
      <c r="G44" s="4">
        <f t="shared" si="0"/>
        <v>1209.9945550245025</v>
      </c>
      <c r="H44" s="4" t="s">
        <v>154</v>
      </c>
      <c r="I44" s="4">
        <v>0</v>
      </c>
      <c r="J44" s="19" t="s">
        <v>143</v>
      </c>
      <c r="K44" s="7" t="s">
        <v>4</v>
      </c>
      <c r="L44" s="7" t="s">
        <v>19</v>
      </c>
      <c r="M44" s="16">
        <v>6.7</v>
      </c>
      <c r="N44" s="16">
        <v>1.2</v>
      </c>
      <c r="O44" s="17">
        <v>25</v>
      </c>
      <c r="P44" s="17">
        <v>82</v>
      </c>
      <c r="Q44" s="17">
        <v>746</v>
      </c>
      <c r="R44" s="18">
        <v>0.95</v>
      </c>
      <c r="S44" s="16">
        <v>8.8000000000000007</v>
      </c>
      <c r="T44" s="16">
        <v>2.2999999999999998</v>
      </c>
      <c r="U44" s="5"/>
      <c r="V44" s="5"/>
      <c r="W44" s="5"/>
      <c r="X44" s="5"/>
      <c r="Y44" s="5"/>
      <c r="Z44" s="5">
        <v>3390</v>
      </c>
      <c r="AA44" s="5">
        <v>22.3</v>
      </c>
      <c r="AB44" s="23">
        <f t="shared" si="33"/>
        <v>3098.8588235294119</v>
      </c>
      <c r="AC44" s="24">
        <f t="shared" si="34"/>
        <v>2.5610518747058824</v>
      </c>
      <c r="AD44" s="24">
        <f t="shared" si="35"/>
        <v>774.71819209852936</v>
      </c>
      <c r="AE44" s="21">
        <f t="shared" si="36"/>
        <v>21.335000000000001</v>
      </c>
      <c r="AF44" s="21">
        <v>15</v>
      </c>
      <c r="AG44" s="25">
        <f t="shared" si="37"/>
        <v>59.999730001214999</v>
      </c>
      <c r="AH44" s="5">
        <v>0.3</v>
      </c>
      <c r="AI44" s="37">
        <v>9</v>
      </c>
      <c r="AJ44" s="7">
        <v>9</v>
      </c>
      <c r="AK44" s="5">
        <v>20</v>
      </c>
      <c r="AL44" s="5">
        <f t="shared" si="38"/>
        <v>6</v>
      </c>
      <c r="AM44" s="5">
        <f t="shared" si="39"/>
        <v>54</v>
      </c>
      <c r="AN44" s="5">
        <v>2</v>
      </c>
      <c r="AO44" s="5">
        <v>20</v>
      </c>
      <c r="AP44" s="5">
        <v>0.46</v>
      </c>
      <c r="AQ44" s="5">
        <f t="shared" si="30"/>
        <v>18.400000000000002</v>
      </c>
      <c r="AR44" s="5">
        <f t="shared" si="31"/>
        <v>72.400000000000006</v>
      </c>
      <c r="AS44" s="25">
        <f t="shared" si="32"/>
        <v>18.100081449999998</v>
      </c>
    </row>
    <row r="45" spans="1:45" x14ac:dyDescent="0.3">
      <c r="A45" s="7" t="s">
        <v>0</v>
      </c>
      <c r="B45" s="7">
        <v>2024</v>
      </c>
      <c r="C45" s="7" t="s">
        <v>160</v>
      </c>
      <c r="D45" s="5" t="s">
        <v>161</v>
      </c>
      <c r="E45" s="8" t="s">
        <v>22</v>
      </c>
      <c r="F45" s="4">
        <v>4035</v>
      </c>
      <c r="G45" s="4">
        <f t="shared" si="0"/>
        <v>1220.5820073809668</v>
      </c>
      <c r="H45" s="4" t="s">
        <v>154</v>
      </c>
      <c r="I45" s="4">
        <v>0</v>
      </c>
      <c r="J45" s="19" t="s">
        <v>147</v>
      </c>
      <c r="K45" s="7" t="s">
        <v>4</v>
      </c>
      <c r="L45" s="7" t="s">
        <v>19</v>
      </c>
      <c r="M45" s="16">
        <v>5.5</v>
      </c>
      <c r="N45" s="16">
        <v>0.4</v>
      </c>
      <c r="O45" s="17">
        <v>26</v>
      </c>
      <c r="P45" s="17">
        <v>28</v>
      </c>
      <c r="Q45" s="17">
        <v>153</v>
      </c>
      <c r="R45" s="18">
        <v>0.25</v>
      </c>
      <c r="S45" s="16">
        <v>5.7</v>
      </c>
      <c r="T45" s="16">
        <v>2.2999999999999998</v>
      </c>
      <c r="U45" s="5"/>
      <c r="V45" s="5"/>
      <c r="W45" s="5"/>
      <c r="X45" s="5"/>
      <c r="Y45" s="5"/>
      <c r="Z45" s="5">
        <v>3061</v>
      </c>
      <c r="AA45" s="5">
        <v>21.8</v>
      </c>
      <c r="AB45" s="23">
        <f t="shared" si="33"/>
        <v>2816.1200000000003</v>
      </c>
      <c r="AC45" s="24">
        <f t="shared" si="34"/>
        <v>2.3071944228004959</v>
      </c>
      <c r="AD45" s="24">
        <f t="shared" si="35"/>
        <v>697.92631289714996</v>
      </c>
      <c r="AE45" s="21">
        <f t="shared" si="36"/>
        <v>9.3660000000000014</v>
      </c>
      <c r="AF45" s="21">
        <v>16</v>
      </c>
      <c r="AG45" s="25">
        <f t="shared" si="37"/>
        <v>37.791639937620289</v>
      </c>
      <c r="AH45" s="5">
        <v>0.3</v>
      </c>
      <c r="AI45" s="37">
        <v>6</v>
      </c>
      <c r="AJ45" s="7">
        <v>8</v>
      </c>
      <c r="AK45" s="5">
        <v>20</v>
      </c>
      <c r="AL45" s="5">
        <f t="shared" si="38"/>
        <v>6</v>
      </c>
      <c r="AM45" s="5">
        <f t="shared" si="39"/>
        <v>48</v>
      </c>
      <c r="AN45" s="5">
        <v>2</v>
      </c>
      <c r="AO45" s="5">
        <v>20</v>
      </c>
      <c r="AP45" s="5">
        <v>0.46</v>
      </c>
      <c r="AQ45" s="5">
        <f t="shared" si="30"/>
        <v>18.400000000000002</v>
      </c>
      <c r="AR45" s="5">
        <f t="shared" si="31"/>
        <v>66.400000000000006</v>
      </c>
      <c r="AS45" s="25">
        <f t="shared" si="32"/>
        <v>16.456083965303591</v>
      </c>
    </row>
    <row r="46" spans="1:45" x14ac:dyDescent="0.3">
      <c r="A46" s="7" t="s">
        <v>0</v>
      </c>
      <c r="B46" s="7">
        <v>2024</v>
      </c>
      <c r="C46" s="7" t="s">
        <v>162</v>
      </c>
      <c r="D46" s="5" t="s">
        <v>163</v>
      </c>
      <c r="E46" s="8" t="s">
        <v>22</v>
      </c>
      <c r="F46" s="4">
        <v>4874</v>
      </c>
      <c r="G46" s="4">
        <f t="shared" si="0"/>
        <v>1474.3783652973561</v>
      </c>
      <c r="H46" s="4" t="s">
        <v>154</v>
      </c>
      <c r="I46" s="4">
        <v>0</v>
      </c>
      <c r="J46" s="19" t="s">
        <v>147</v>
      </c>
      <c r="K46" s="7" t="s">
        <v>4</v>
      </c>
      <c r="L46" s="7" t="s">
        <v>19</v>
      </c>
      <c r="M46" s="16">
        <v>5.7</v>
      </c>
      <c r="N46" s="16">
        <v>0.4</v>
      </c>
      <c r="O46" s="17">
        <v>28</v>
      </c>
      <c r="P46" s="17">
        <v>34</v>
      </c>
      <c r="Q46" s="17">
        <v>188</v>
      </c>
      <c r="R46" s="18">
        <v>0.18</v>
      </c>
      <c r="S46" s="16">
        <v>6.7</v>
      </c>
      <c r="T46" s="16">
        <v>1.8</v>
      </c>
      <c r="U46" s="5"/>
      <c r="V46" s="5"/>
      <c r="W46" s="5"/>
      <c r="X46" s="5"/>
      <c r="Y46" s="5"/>
      <c r="Z46" s="5">
        <v>3377</v>
      </c>
      <c r="AA46" s="5">
        <v>20.8</v>
      </c>
      <c r="AB46" s="23">
        <f t="shared" si="33"/>
        <v>3146.5694117647063</v>
      </c>
      <c r="AC46" s="24">
        <f t="shared" si="34"/>
        <v>2.1341668365637601</v>
      </c>
      <c r="AD46" s="24">
        <f t="shared" si="35"/>
        <v>645.58546806053744</v>
      </c>
      <c r="AE46" s="21">
        <f t="shared" si="36"/>
        <v>9.8480000000000008</v>
      </c>
      <c r="AF46" s="21">
        <v>17</v>
      </c>
      <c r="AG46" s="25">
        <f t="shared" si="37"/>
        <v>47.998936004787986</v>
      </c>
      <c r="AH46" s="5">
        <v>0.3</v>
      </c>
      <c r="AI46" s="37">
        <v>8</v>
      </c>
      <c r="AJ46" s="7">
        <v>9</v>
      </c>
      <c r="AK46" s="5">
        <v>20</v>
      </c>
      <c r="AL46" s="5">
        <f t="shared" si="38"/>
        <v>6</v>
      </c>
      <c r="AM46" s="5">
        <f t="shared" si="39"/>
        <v>54</v>
      </c>
      <c r="AN46" s="5">
        <v>2</v>
      </c>
      <c r="AO46" s="5">
        <v>20</v>
      </c>
      <c r="AP46" s="5">
        <v>0.46</v>
      </c>
      <c r="AQ46" s="5">
        <f t="shared" si="30"/>
        <v>18.400000000000002</v>
      </c>
      <c r="AR46" s="5">
        <f t="shared" si="31"/>
        <v>72.400000000000006</v>
      </c>
      <c r="AS46" s="25">
        <f t="shared" si="32"/>
        <v>14.854395937628231</v>
      </c>
    </row>
    <row r="47" spans="1:45" x14ac:dyDescent="0.3">
      <c r="A47" s="7" t="s">
        <v>0</v>
      </c>
      <c r="B47" s="7">
        <v>2024</v>
      </c>
      <c r="C47" s="7" t="s">
        <v>164</v>
      </c>
      <c r="D47" s="5" t="s">
        <v>165</v>
      </c>
      <c r="E47" s="8" t="s">
        <v>22</v>
      </c>
      <c r="F47" s="4">
        <v>2000</v>
      </c>
      <c r="G47" s="4">
        <f t="shared" si="0"/>
        <v>604.99727751225123</v>
      </c>
      <c r="H47" s="4" t="s">
        <v>154</v>
      </c>
      <c r="I47" s="4">
        <v>0</v>
      </c>
      <c r="J47" s="19" t="s">
        <v>147</v>
      </c>
      <c r="K47" s="7" t="s">
        <v>4</v>
      </c>
      <c r="L47" s="7" t="s">
        <v>19</v>
      </c>
      <c r="M47" s="16">
        <v>6.6</v>
      </c>
      <c r="N47" s="16">
        <v>1</v>
      </c>
      <c r="O47" s="17">
        <v>29</v>
      </c>
      <c r="P47" s="17">
        <v>93</v>
      </c>
      <c r="Q47" s="17">
        <v>442</v>
      </c>
      <c r="R47" s="18">
        <v>0.7</v>
      </c>
      <c r="S47" s="16">
        <v>7.4</v>
      </c>
      <c r="T47" s="16">
        <v>1.8</v>
      </c>
      <c r="U47" s="5"/>
      <c r="V47" s="5"/>
      <c r="W47" s="5"/>
      <c r="X47" s="5"/>
      <c r="Y47" s="5"/>
      <c r="Z47" s="5">
        <v>1594</v>
      </c>
      <c r="AA47" s="5">
        <v>24.5</v>
      </c>
      <c r="AB47" s="23">
        <f t="shared" si="33"/>
        <v>1415.8470588235293</v>
      </c>
      <c r="AC47" s="24">
        <f t="shared" si="34"/>
        <v>2.3402536035294115</v>
      </c>
      <c r="AD47" s="24">
        <f t="shared" si="35"/>
        <v>707.92671506764691</v>
      </c>
      <c r="AE47" s="21">
        <f t="shared" si="36"/>
        <v>14.819000000000001</v>
      </c>
      <c r="AF47" s="21">
        <v>18</v>
      </c>
      <c r="AG47" s="25">
        <f t="shared" si="37"/>
        <v>29.637866629600172</v>
      </c>
      <c r="AH47" s="5">
        <v>0.3</v>
      </c>
      <c r="AI47" s="37">
        <v>4</v>
      </c>
      <c r="AJ47" s="7">
        <v>5</v>
      </c>
      <c r="AK47" s="5">
        <v>20</v>
      </c>
      <c r="AL47" s="5">
        <f t="shared" si="38"/>
        <v>6</v>
      </c>
      <c r="AM47" s="5">
        <f t="shared" si="39"/>
        <v>30</v>
      </c>
      <c r="AN47" s="5">
        <v>2</v>
      </c>
      <c r="AO47" s="5">
        <v>20</v>
      </c>
      <c r="AP47" s="5">
        <v>0.46</v>
      </c>
      <c r="AQ47" s="5">
        <f t="shared" si="30"/>
        <v>18.400000000000002</v>
      </c>
      <c r="AR47" s="5">
        <f t="shared" si="31"/>
        <v>48.400000000000006</v>
      </c>
      <c r="AS47" s="25">
        <f t="shared" si="32"/>
        <v>24.2001089</v>
      </c>
    </row>
    <row r="48" spans="1:45" x14ac:dyDescent="0.3">
      <c r="A48" s="7" t="s">
        <v>0</v>
      </c>
      <c r="B48" s="7">
        <v>2024</v>
      </c>
      <c r="C48" s="7" t="s">
        <v>166</v>
      </c>
      <c r="D48" s="5" t="s">
        <v>167</v>
      </c>
      <c r="E48" s="8" t="s">
        <v>22</v>
      </c>
      <c r="F48" s="4">
        <v>6000</v>
      </c>
      <c r="G48" s="4">
        <f t="shared" si="0"/>
        <v>1814.9918325367535</v>
      </c>
      <c r="H48" s="4" t="s">
        <v>154</v>
      </c>
      <c r="I48" s="4">
        <v>0</v>
      </c>
      <c r="J48" s="19" t="s">
        <v>147</v>
      </c>
      <c r="K48" s="7" t="s">
        <v>4</v>
      </c>
      <c r="L48" s="7" t="s">
        <v>19</v>
      </c>
      <c r="M48" s="16">
        <v>6.5</v>
      </c>
      <c r="N48" s="16">
        <v>0.8</v>
      </c>
      <c r="O48" s="17">
        <v>36</v>
      </c>
      <c r="P48" s="17">
        <v>105</v>
      </c>
      <c r="Q48" s="17">
        <v>316</v>
      </c>
      <c r="R48" s="18">
        <v>0.71</v>
      </c>
      <c r="S48" s="16">
        <v>5.9</v>
      </c>
      <c r="T48" s="16">
        <v>1.2</v>
      </c>
      <c r="U48" s="5"/>
      <c r="V48" s="5"/>
      <c r="W48" s="5"/>
      <c r="X48" s="5"/>
      <c r="Y48" s="5"/>
      <c r="Z48" s="5">
        <v>4828</v>
      </c>
      <c r="AA48" s="5">
        <v>23</v>
      </c>
      <c r="AB48" s="23">
        <f t="shared" si="33"/>
        <v>4373.6000000000004</v>
      </c>
      <c r="AC48" s="24">
        <f t="shared" si="34"/>
        <v>2.4097078133333336</v>
      </c>
      <c r="AD48" s="24">
        <f t="shared" si="35"/>
        <v>728.93661353333334</v>
      </c>
      <c r="AE48" s="21">
        <f t="shared" si="36"/>
        <v>11.536000000000001</v>
      </c>
      <c r="AF48" s="21">
        <v>19</v>
      </c>
      <c r="AG48" s="25">
        <f t="shared" si="37"/>
        <v>69.215688529401618</v>
      </c>
      <c r="AH48" s="5">
        <v>0.3</v>
      </c>
      <c r="AI48" s="37">
        <v>12</v>
      </c>
      <c r="AJ48" s="7">
        <v>13</v>
      </c>
      <c r="AK48" s="5">
        <v>20</v>
      </c>
      <c r="AL48" s="5">
        <f t="shared" si="38"/>
        <v>6</v>
      </c>
      <c r="AM48" s="5">
        <f t="shared" si="39"/>
        <v>78</v>
      </c>
      <c r="AN48" s="5">
        <v>2</v>
      </c>
      <c r="AO48" s="5">
        <v>20</v>
      </c>
      <c r="AP48" s="5">
        <v>0.46</v>
      </c>
      <c r="AQ48" s="5">
        <f t="shared" si="30"/>
        <v>18.400000000000002</v>
      </c>
      <c r="AR48" s="5">
        <f t="shared" si="31"/>
        <v>96.4</v>
      </c>
      <c r="AS48" s="25">
        <f t="shared" si="32"/>
        <v>16.066738966666669</v>
      </c>
    </row>
    <row r="49" spans="1:45" x14ac:dyDescent="0.3">
      <c r="A49" s="7" t="s">
        <v>0</v>
      </c>
      <c r="B49" s="7">
        <v>2024</v>
      </c>
      <c r="C49" s="7" t="s">
        <v>168</v>
      </c>
      <c r="D49" s="5" t="s">
        <v>169</v>
      </c>
      <c r="E49" s="8" t="s">
        <v>22</v>
      </c>
      <c r="F49" s="4">
        <v>4000</v>
      </c>
      <c r="G49" s="4">
        <f t="shared" si="0"/>
        <v>1209.9945550245025</v>
      </c>
      <c r="H49" s="4" t="s">
        <v>154</v>
      </c>
      <c r="I49" s="4">
        <v>0</v>
      </c>
      <c r="J49" s="19" t="s">
        <v>143</v>
      </c>
      <c r="K49" s="7" t="s">
        <v>4</v>
      </c>
      <c r="L49" s="7" t="s">
        <v>19</v>
      </c>
      <c r="M49" s="16">
        <v>6.8</v>
      </c>
      <c r="N49" s="16">
        <v>1.3</v>
      </c>
      <c r="O49" s="17">
        <v>43</v>
      </c>
      <c r="P49" s="17">
        <v>92</v>
      </c>
      <c r="Q49" s="17">
        <v>893</v>
      </c>
      <c r="R49" s="18">
        <v>0.56000000000000005</v>
      </c>
      <c r="S49" s="16">
        <v>8.8000000000000007</v>
      </c>
      <c r="T49" s="16">
        <v>2</v>
      </c>
      <c r="U49" s="5"/>
      <c r="V49" s="5"/>
      <c r="W49" s="5"/>
      <c r="X49" s="5"/>
      <c r="Y49" s="5"/>
      <c r="Z49" s="5">
        <v>3284</v>
      </c>
      <c r="AA49" s="5">
        <v>21.1</v>
      </c>
      <c r="AB49" s="23">
        <f t="shared" si="33"/>
        <v>3048.3247058823531</v>
      </c>
      <c r="AC49" s="24">
        <f t="shared" si="34"/>
        <v>2.5192879531764705</v>
      </c>
      <c r="AD49" s="24">
        <f t="shared" si="35"/>
        <v>762.08460583588237</v>
      </c>
      <c r="AE49" s="21">
        <f t="shared" si="36"/>
        <v>22.312999999999999</v>
      </c>
      <c r="AF49" s="21">
        <v>20</v>
      </c>
      <c r="AG49" s="25">
        <f t="shared" si="37"/>
        <v>79.999640001620008</v>
      </c>
      <c r="AH49" s="5">
        <v>0.3</v>
      </c>
      <c r="AI49" s="37">
        <v>9</v>
      </c>
      <c r="AJ49" s="7">
        <v>9</v>
      </c>
      <c r="AK49" s="5">
        <v>20</v>
      </c>
      <c r="AL49" s="5">
        <f t="shared" si="38"/>
        <v>6</v>
      </c>
      <c r="AM49" s="5">
        <f t="shared" si="39"/>
        <v>54</v>
      </c>
      <c r="AN49" s="5">
        <v>2</v>
      </c>
      <c r="AO49" s="5">
        <v>20</v>
      </c>
      <c r="AP49" s="5">
        <v>0.46</v>
      </c>
      <c r="AQ49" s="5">
        <f t="shared" si="30"/>
        <v>18.400000000000002</v>
      </c>
      <c r="AR49" s="5">
        <f t="shared" si="31"/>
        <v>72.400000000000006</v>
      </c>
      <c r="AS49" s="25">
        <f t="shared" si="32"/>
        <v>18.100081449999998</v>
      </c>
    </row>
    <row r="50" spans="1:45" x14ac:dyDescent="0.3">
      <c r="A50" s="7" t="s">
        <v>0</v>
      </c>
      <c r="B50" s="7">
        <v>2024</v>
      </c>
      <c r="C50" s="7" t="s">
        <v>170</v>
      </c>
      <c r="D50" s="5" t="s">
        <v>171</v>
      </c>
      <c r="E50" s="8" t="s">
        <v>22</v>
      </c>
      <c r="F50" s="4">
        <v>4000</v>
      </c>
      <c r="G50" s="4">
        <f t="shared" si="0"/>
        <v>1209.9945550245025</v>
      </c>
      <c r="H50" s="4" t="s">
        <v>154</v>
      </c>
      <c r="I50" s="4">
        <v>0</v>
      </c>
      <c r="J50" s="19" t="s">
        <v>143</v>
      </c>
      <c r="K50" s="7" t="s">
        <v>4</v>
      </c>
      <c r="L50" s="7" t="s">
        <v>19</v>
      </c>
      <c r="M50" s="16">
        <v>6.6</v>
      </c>
      <c r="N50" s="16">
        <v>0.8</v>
      </c>
      <c r="O50" s="17">
        <v>24</v>
      </c>
      <c r="P50" s="17">
        <v>105</v>
      </c>
      <c r="Q50" s="17">
        <v>439</v>
      </c>
      <c r="R50" s="18">
        <v>0.7</v>
      </c>
      <c r="S50" s="16">
        <v>13.4</v>
      </c>
      <c r="T50" s="16">
        <v>3.3</v>
      </c>
      <c r="U50" s="5"/>
      <c r="V50" s="5"/>
      <c r="W50" s="5"/>
      <c r="X50" s="5"/>
      <c r="Y50" s="5"/>
      <c r="Z50" s="5">
        <v>3229</v>
      </c>
      <c r="AA50" s="5">
        <v>25.9</v>
      </c>
      <c r="AB50" s="23">
        <f t="shared" si="33"/>
        <v>2814.9282352941177</v>
      </c>
      <c r="AC50" s="24">
        <f t="shared" si="34"/>
        <v>2.3263974400588237</v>
      </c>
      <c r="AD50" s="24">
        <f t="shared" si="35"/>
        <v>703.73522561779407</v>
      </c>
      <c r="AE50" s="21">
        <f t="shared" si="36"/>
        <v>15.304</v>
      </c>
      <c r="AF50" s="21">
        <v>21</v>
      </c>
      <c r="AG50" s="25">
        <f t="shared" si="37"/>
        <v>61.215724529239623</v>
      </c>
      <c r="AH50" s="5">
        <v>0.3</v>
      </c>
      <c r="AI50" s="37">
        <v>9</v>
      </c>
      <c r="AJ50" s="7">
        <v>9</v>
      </c>
      <c r="AK50" s="5">
        <v>20</v>
      </c>
      <c r="AL50" s="5">
        <f t="shared" si="38"/>
        <v>6</v>
      </c>
      <c r="AM50" s="5">
        <f t="shared" si="39"/>
        <v>54</v>
      </c>
      <c r="AN50" s="5">
        <v>2</v>
      </c>
      <c r="AO50" s="5">
        <v>20</v>
      </c>
      <c r="AP50" s="5">
        <v>0.46</v>
      </c>
      <c r="AQ50" s="5">
        <f t="shared" si="30"/>
        <v>18.400000000000002</v>
      </c>
      <c r="AR50" s="5">
        <f t="shared" si="31"/>
        <v>72.400000000000006</v>
      </c>
      <c r="AS50" s="25">
        <f t="shared" si="32"/>
        <v>18.100081449999998</v>
      </c>
    </row>
    <row r="51" spans="1:45" x14ac:dyDescent="0.3">
      <c r="A51" s="7" t="s">
        <v>0</v>
      </c>
      <c r="B51" s="7">
        <v>2024</v>
      </c>
      <c r="C51" s="7" t="s">
        <v>172</v>
      </c>
      <c r="D51" s="5" t="s">
        <v>173</v>
      </c>
      <c r="E51" s="8" t="s">
        <v>22</v>
      </c>
      <c r="F51" s="4">
        <v>3187</v>
      </c>
      <c r="G51" s="4">
        <f t="shared" si="0"/>
        <v>964.06316171577225</v>
      </c>
      <c r="H51" s="4" t="s">
        <v>154</v>
      </c>
      <c r="I51" s="4">
        <v>0</v>
      </c>
      <c r="J51" s="19" t="s">
        <v>143</v>
      </c>
      <c r="K51" s="7" t="s">
        <v>4</v>
      </c>
      <c r="L51" s="7" t="s">
        <v>19</v>
      </c>
      <c r="M51" s="16">
        <v>6.4</v>
      </c>
      <c r="N51" s="16">
        <v>0.6</v>
      </c>
      <c r="O51" s="17">
        <v>24</v>
      </c>
      <c r="P51" s="17">
        <v>78</v>
      </c>
      <c r="Q51" s="17">
        <v>216</v>
      </c>
      <c r="R51" s="18">
        <v>0.42</v>
      </c>
      <c r="S51" s="16">
        <v>5.7</v>
      </c>
      <c r="T51" s="16">
        <v>1.3</v>
      </c>
      <c r="U51" s="5"/>
      <c r="V51" s="5"/>
      <c r="W51" s="5"/>
      <c r="X51" s="5"/>
      <c r="Y51" s="5"/>
      <c r="Z51" s="5">
        <v>2420</v>
      </c>
      <c r="AA51" s="5">
        <v>25.1</v>
      </c>
      <c r="AB51" s="23">
        <f t="shared" si="33"/>
        <v>2132.4470588235295</v>
      </c>
      <c r="AC51" s="24">
        <f t="shared" si="34"/>
        <v>2.2119370841100796</v>
      </c>
      <c r="AD51" s="24">
        <f t="shared" si="35"/>
        <v>669.1109679432991</v>
      </c>
      <c r="AE51" s="21">
        <f t="shared" si="36"/>
        <v>10.844000000000001</v>
      </c>
      <c r="AF51" s="21">
        <v>22</v>
      </c>
      <c r="AG51" s="25">
        <f t="shared" si="37"/>
        <v>34.559672481473839</v>
      </c>
      <c r="AH51" s="5">
        <v>0.3</v>
      </c>
      <c r="AI51" s="37">
        <v>6</v>
      </c>
      <c r="AJ51" s="7">
        <v>6</v>
      </c>
      <c r="AK51" s="5">
        <v>20</v>
      </c>
      <c r="AL51" s="5">
        <f t="shared" si="38"/>
        <v>6</v>
      </c>
      <c r="AM51" s="5">
        <f t="shared" si="39"/>
        <v>36</v>
      </c>
      <c r="AN51" s="5">
        <v>2</v>
      </c>
      <c r="AO51" s="5">
        <v>20</v>
      </c>
      <c r="AP51" s="5">
        <v>0.18</v>
      </c>
      <c r="AQ51" s="5">
        <f t="shared" si="30"/>
        <v>7.1999999999999993</v>
      </c>
      <c r="AR51" s="5">
        <f t="shared" si="31"/>
        <v>43.2</v>
      </c>
      <c r="AS51" s="25">
        <f t="shared" si="32"/>
        <v>13.555128459366175</v>
      </c>
    </row>
  </sheetData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2072995-9573-4763-8ef9-ccd2211cdc67" xsi:nil="true"/>
    <lcf76f155ced4ddcb4097134ff3c332f xmlns="f53a7b80-c772-4be7-9753-cce4d137279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F5054E893517984C855A57020CDEA3AC" ma:contentTypeVersion="16" ma:contentTypeDescription="새 문서를 만듭니다." ma:contentTypeScope="" ma:versionID="51ad2252ba68a408f345f441ae4381cc">
  <xsd:schema xmlns:xsd="http://www.w3.org/2001/XMLSchema" xmlns:xs="http://www.w3.org/2001/XMLSchema" xmlns:p="http://schemas.microsoft.com/office/2006/metadata/properties" xmlns:ns2="f53a7b80-c772-4be7-9753-cce4d137279b" xmlns:ns3="c2072995-9573-4763-8ef9-ccd2211cdc67" targetNamespace="http://schemas.microsoft.com/office/2006/metadata/properties" ma:root="true" ma:fieldsID="da843ded4f9ec0271b3e7461b03c34b3" ns2:_="" ns3:_="">
    <xsd:import namespace="f53a7b80-c772-4be7-9753-cce4d137279b"/>
    <xsd:import namespace="c2072995-9573-4763-8ef9-ccd2211cdc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3a7b80-c772-4be7-9753-cce4d13727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fdaa3e7a-fe5e-4d01-b6e4-84710e1e09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072995-9573-4763-8ef9-ccd2211cdc6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94566ed-6912-44cc-8f14-44eb3c3e8bcd}" ma:internalName="TaxCatchAll" ma:showField="CatchAllData" ma:web="c2072995-9573-4763-8ef9-ccd2211cdc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1A31E2-40FF-443E-B7FA-B151C676481F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c2072995-9573-4763-8ef9-ccd2211cdc67"/>
    <ds:schemaRef ds:uri="f53a7b80-c772-4be7-9753-cce4d137279b"/>
    <ds:schemaRef ds:uri="http://www.w3.org/XML/1998/namespace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8214A36-1175-4AAE-9765-8CA40D79A3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6F68C0-0C36-4592-B466-97CCA3B9F9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3a7b80-c772-4be7-9753-cce4d137279b"/>
    <ds:schemaRef ds:uri="c2072995-9573-4763-8ef9-ccd2211cdc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이상호</dc:creator>
  <cp:lastModifiedBy>이상호</cp:lastModifiedBy>
  <dcterms:created xsi:type="dcterms:W3CDTF">2025-10-21T05:28:55Z</dcterms:created>
  <dcterms:modified xsi:type="dcterms:W3CDTF">2025-11-02T14:43:10Z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0x010100F5054E893517984C855A57020CDEA3AC</vt:lpwstr>
  </property>
  <property fmtid="{D5CDD505-2E9C-101B-9397-08002B2CF9AE}" pid="3" name="MediaServiceImageTags">
    <vt:lpwstr/>
  </property>
</Properties>
</file>